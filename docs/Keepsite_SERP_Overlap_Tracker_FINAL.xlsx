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18d92e73634b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Compare" sheetId="1" r:id="Ra5e81453e4354b56"/>
    <x:sheet xmlns:r="http://schemas.openxmlformats.org/officeDocument/2006/relationships" name="Pair Tracker" sheetId="2" r:id="Rfb2be4ada68d42b8"/>
    <x:sheet xmlns:r="http://schemas.openxmlformats.org/officeDocument/2006/relationships" name="How to Use" sheetId="3" r:id="R84b948d699f249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F3B38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274E13"/>
      <x:name val="Carlito"/>
    </x:font>
    <x:font>
      <x:b/>
      <x:sz val="11"/>
      <x:color rgb="FF1F4E78"/>
      <x:name val="Carlito"/>
    </x:font>
    <x:font>
      <x:sz val="11"/>
      <x:color rgb="FF2F3B38"/>
      <x:name val="Carlito"/>
    </x:font>
    <x:font>
      <x:b/>
      <x:sz val="16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5F7F78"/>
      </x:patternFill>
    </x:fill>
    <x:fill>
      <x:patternFill patternType="solid">
        <x:fgColor rgb="FFFFF9EC"/>
      </x:patternFill>
    </x:fill>
    <x:fill>
      <x:patternFill patternType="solid">
        <x:fgColor rgb="FFF3F5F4"/>
      </x:patternFill>
    </x:fill>
    <x:fill>
      <x:patternFill patternType="solid">
        <x:fgColor rgb="FFC9A547"/>
      </x:patternFill>
    </x:fill>
    <x:fill>
      <x:patternFill patternType="solid">
        <x:fgColor rgb="FFD9EAD3"/>
      </x:patternFill>
    </x:fill>
    <x:fill>
      <x:patternFill patternType="solid">
        <x:fgColor rgb="FFD9EAF7"/>
      </x:patternFill>
    </x:fill>
    <x:fill>
      <x:patternFill patternType="solid">
        <x:fgColor rgb="FFEEF3F1"/>
      </x:patternFill>
    </x:fill>
  </x:fills>
  <x:borders count="18">
    <x:border/>
    <x:border/>
    <x:border>
      <x:left style="thin">
        <x:color rgb="FFD9DDDB"/>
      </x:left>
      <x:top style="thin">
        <x:color rgb="FFD9DDDB"/>
      </x:top>
    </x:border>
    <x:border>
      <x:top style="thin">
        <x:color rgb="FFD9DDDB"/>
      </x:top>
    </x:border>
    <x:border>
      <x:right style="thin">
        <x:color rgb="FFD9DDDB"/>
      </x:right>
      <x:top style="thin">
        <x:color rgb="FFD9DDDB"/>
      </x:top>
    </x:border>
    <x:border>
      <x:left style="thin">
        <x:color rgb="FFD9DDDB"/>
      </x:left>
    </x:border>
    <x:border>
      <x:right style="thin">
        <x:color rgb="FFD9DDDB"/>
      </x:right>
    </x:border>
    <x:border>
      <x:left style="thin">
        <x:color rgb="FFD9DDDB"/>
      </x:left>
      <x:bottom style="thin">
        <x:color rgb="FFD9DDDB"/>
      </x:bottom>
    </x:border>
    <x:border>
      <x:bottom style="thin">
        <x:color rgb="FFD9DDDB"/>
      </x:bottom>
    </x:border>
    <x:border>
      <x:right style="thin">
        <x:color rgb="FFD9DDDB"/>
      </x:right>
      <x:bottom style="thin">
        <x:color rgb="FFD9DDDB"/>
      </x:bottom>
    </x:border>
    <x:border>
      <x:left style="thin">
        <x:color rgb="FFD9DDDB"/>
      </x:left>
      <x:top style="thin">
        <x:color rgb="FFD9DDDB"/>
      </x:top>
    </x:border>
    <x:border>
      <x:top style="thin">
        <x:color rgb="FFD9DDDB"/>
      </x:top>
    </x:border>
    <x:border>
      <x:right style="thin">
        <x:color rgb="FFD9DDDB"/>
      </x:right>
      <x:top style="thin">
        <x:color rgb="FFD9DDDB"/>
      </x:top>
    </x:border>
    <x:border>
      <x:left style="thin">
        <x:color rgb="FFD9DDDB"/>
      </x:left>
    </x:border>
    <x:border>
      <x:right style="thin">
        <x:color rgb="FFD9DDDB"/>
      </x:right>
    </x:border>
    <x:border>
      <x:left style="thin">
        <x:color rgb="FFD9DDDB"/>
      </x:left>
      <x:bottom style="thin">
        <x:color rgb="FFD9DDDB"/>
      </x:bottom>
    </x:border>
    <x:border>
      <x:bottom style="thin">
        <x:color rgb="FFD9DDDB"/>
      </x:bottom>
    </x:border>
    <x:border>
      <x:right style="thin">
        <x:color rgb="FFD9DDDB"/>
      </x:right>
      <x:bottom style="thin">
        <x:color rgb="FFD9DDDB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29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color rgb="FF990000"/>
      </x:font>
      <x:fill>
        <x:patternFill>
          <x:bgColor rgb="FFFCE8E6"/>
        </x:patternFill>
      </x:fill>
    </x:dxf>
    <x:dxf>
      <x:fill>
        <x:patternFill>
          <x:bgColor rgb="FFFFF8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2f2cd34d54dc2" /><Relationship Type="http://schemas.openxmlformats.org/officeDocument/2006/relationships/theme" Target="/xl/theme/theme1.xml" Id="Ra52f358c9dd54333" /><Relationship Type="http://schemas.openxmlformats.org/officeDocument/2006/relationships/sharedStrings" Target="/xl/sharedStrings.xml" Id="R46594b28ea254d2c" /><Relationship Type="http://schemas.openxmlformats.org/officeDocument/2006/relationships/worksheet" Target="/xl/worksheets/sheet1.xml" Id="Ra5e81453e4354b56" /><Relationship Type="http://schemas.openxmlformats.org/officeDocument/2006/relationships/worksheet" Target="/xl/worksheets/sheet2.xml" Id="Rfb2be4ada68d42b8" /><Relationship Type="http://schemas.openxmlformats.org/officeDocument/2006/relationships/worksheet" Target="/xl/worksheets/sheet3.xml" Id="R84b948d699f249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26" hidden="0" customWidth="1"/>
    <x:col min="4" max="4" width="19" hidden="0" customWidth="1"/>
    <x:col min="5" max="5" width="8" hidden="0" customWidth="1"/>
    <x:col min="6" max="6" width="48" hidden="0" customWidth="1"/>
    <x:col min="7" max="7" width="26" hidden="0" customWidth="1"/>
    <x:col min="8" max="8" width="19" hidden="0" customWidth="1"/>
  </x:cols>
  <x:sheetData>
    <x:row r="1" ht="26" customHeight="1">
      <x:c r="A1" s="4" t="str">
        <x:v>SERP Overlap Quick Check — Comparison 01</x:v>
      </x:c>
      <x:c r="B1" s="4"/>
      <x:c r="C1" s="4"/>
      <x:c r="D1" s="4"/>
      <x:c r="E1" s="4"/>
      <x:c r="F1" s="4"/>
      <x:c r="G1" s="4"/>
      <x:c r="H1" s="4"/>
    </x:row>
    <x:row r="2">
      <x:c r="A2" s="8" t="str">
        <x:v>Cluster / Topic</x:v>
      </x:c>
      <x:c r="B2" s="14"/>
      <x:c r="C2" s="14"/>
      <x:c r="D2" s="14"/>
      <x:c r="E2" s="14"/>
      <x:c r="F2" s="14"/>
      <x:c r="G2" s="14"/>
      <x:c r="H2" s="14"/>
    </x:row>
    <x:row r="3">
      <x:c r="A3" s="8" t="str">
        <x:v>Keyword A</x:v>
      </x:c>
      <x:c r="B3" s="14"/>
      <x:c r="C3" s="14"/>
      <x:c r="D3" s="14"/>
      <x:c r="E3" s="14"/>
      <x:c r="F3" s="14"/>
      <x:c r="G3" s="14"/>
      <x:c r="H3" s="14"/>
    </x:row>
    <x:row r="4">
      <x:c r="A4" s="8" t="str">
        <x:v>Keyword B</x:v>
      </x:c>
      <x:c r="B4" s="14"/>
      <x:c r="C4" s="14"/>
      <x:c r="D4" s="14"/>
      <x:c r="E4" s="14"/>
      <x:c r="F4" s="14"/>
      <x:c r="G4" s="14"/>
      <x:c r="H4" s="14"/>
    </x:row>
    <x:row r="5">
      <x:c r="A5" s="8" t="str">
        <x:v>Decision</x:v>
      </x:c>
      <x:c r="B5" s="15" t="str">
        <x:f>B23</x:f>
        <x:v>Consider separate clusters/pages if page types also differ.</x:v>
      </x:c>
      <x:c r="C5" s="15"/>
      <x:c r="D5" s="15"/>
      <x:c r="E5" s="15"/>
      <x:c r="F5" s="15"/>
      <x:c r="G5" s="15"/>
      <x:c r="H5" s="15"/>
    </x:row>
    <x:row r="7">
      <x:c r="A7" s="22" t="str">
        <x:v>Rank</x:v>
      </x:c>
      <x:c r="B7" s="22" t="str">
        <x:v>Keyword A URL</x:v>
      </x:c>
      <x:c r="C7" s="22" t="str">
        <x:v>Keyword A Business/Domain</x:v>
      </x:c>
      <x:c r="D7" s="22" t="str">
        <x:v>Page Type</x:v>
      </x:c>
      <x:c r="E7" s="22" t="str">
        <x:v>Rank</x:v>
      </x:c>
      <x:c r="F7" s="22" t="str">
        <x:v>Keyword B URL</x:v>
      </x:c>
      <x:c r="G7" s="22" t="str">
        <x:v>Keyword B Business/Domain</x:v>
      </x:c>
      <x:c r="H7" s="22" t="str">
        <x:v>Page Type</x:v>
      </x:c>
    </x:row>
    <x:row r="8">
      <x:c r="A8" s="45" t="n">
        <x:v>1</x:v>
      </x:c>
      <x:c r="B8" s="29"/>
      <x:c r="C8" s="29"/>
      <x:c r="D8" s="29"/>
      <x:c r="E8" s="51" t="n">
        <x:v>1</x:v>
      </x:c>
      <x:c r="F8" s="29"/>
      <x:c r="G8" s="29"/>
      <x:c r="H8" s="30"/>
    </x:row>
    <x:row r="9">
      <x:c r="A9" s="46" t="n">
        <x:v>2</x:v>
      </x:c>
      <x:c r="B9" s="32"/>
      <x:c r="C9" s="32"/>
      <x:c r="D9" s="32"/>
      <x:c r="E9" s="52" t="n">
        <x:v>2</x:v>
      </x:c>
      <x:c r="F9" s="32"/>
      <x:c r="G9" s="32"/>
      <x:c r="H9" s="33"/>
    </x:row>
    <x:row r="10">
      <x:c r="A10" s="46" t="n">
        <x:v>3</x:v>
      </x:c>
      <x:c r="B10" s="32"/>
      <x:c r="C10" s="32"/>
      <x:c r="D10" s="32"/>
      <x:c r="E10" s="52" t="n">
        <x:v>3</x:v>
      </x:c>
      <x:c r="F10" s="32"/>
      <x:c r="G10" s="32"/>
      <x:c r="H10" s="33"/>
    </x:row>
    <x:row r="11">
      <x:c r="A11" s="46" t="n">
        <x:v>4</x:v>
      </x:c>
      <x:c r="B11" s="32"/>
      <x:c r="C11" s="32"/>
      <x:c r="D11" s="32"/>
      <x:c r="E11" s="52" t="n">
        <x:v>4</x:v>
      </x:c>
      <x:c r="F11" s="32"/>
      <x:c r="G11" s="32"/>
      <x:c r="H11" s="33"/>
    </x:row>
    <x:row r="12">
      <x:c r="A12" s="46" t="n">
        <x:v>5</x:v>
      </x:c>
      <x:c r="B12" s="32"/>
      <x:c r="C12" s="32"/>
      <x:c r="D12" s="32"/>
      <x:c r="E12" s="52" t="n">
        <x:v>5</x:v>
      </x:c>
      <x:c r="F12" s="32"/>
      <x:c r="G12" s="32"/>
      <x:c r="H12" s="33"/>
    </x:row>
    <x:row r="13">
      <x:c r="A13" s="46" t="n">
        <x:v>6</x:v>
      </x:c>
      <x:c r="B13" s="32"/>
      <x:c r="C13" s="32"/>
      <x:c r="D13" s="32"/>
      <x:c r="E13" s="52" t="n">
        <x:v>6</x:v>
      </x:c>
      <x:c r="F13" s="32"/>
      <x:c r="G13" s="32"/>
      <x:c r="H13" s="33"/>
    </x:row>
    <x:row r="14">
      <x:c r="A14" s="46" t="n">
        <x:v>7</x:v>
      </x:c>
      <x:c r="B14" s="32"/>
      <x:c r="C14" s="32"/>
      <x:c r="D14" s="32"/>
      <x:c r="E14" s="52" t="n">
        <x:v>7</x:v>
      </x:c>
      <x:c r="F14" s="32"/>
      <x:c r="G14" s="32"/>
      <x:c r="H14" s="33"/>
    </x:row>
    <x:row r="15">
      <x:c r="A15" s="47" t="n">
        <x:v>8</x:v>
      </x:c>
      <x:c r="B15" s="35"/>
      <x:c r="C15" s="35"/>
      <x:c r="D15" s="35"/>
      <x:c r="E15" s="53" t="n">
        <x:v>8</x:v>
      </x:c>
      <x:c r="F15" s="35"/>
      <x:c r="G15" s="35"/>
      <x:c r="H15" s="36"/>
    </x:row>
    <x:row r="16">
      <x:c r="A16" s="57" t="str">
        <x:v>MATCH HIGHLIGHTS</x:v>
      </x:c>
      <x:c r="B16" s="57"/>
    </x:row>
    <x:row r="17">
      <x:c r="A17" s="60" t="str">
        <x:v>Exact URL</x:v>
      </x:c>
      <x:c r="B17" s="64" t="str">
        <x:v>Same business/domain</x:v>
      </x:c>
    </x:row>
    <x:row r="18">
      <x:c r="A18" s="8" t="str">
        <x:v>Overlap Signal</x:v>
      </x:c>
      <x:c r="D18" s="72" t="str">
        <x:v>FAST RULE
• 7–8 same URLs = strong overlap
• 3–6 same URLs = gray zone; discuss
• 0–2 same URLs = likely different intent
Use 5–8 organic results. Ignore ads, map packs, and duplicate sitelinks.</x:v>
      </x:c>
      <x:c r="E18" s="72"/>
      <x:c r="F18" s="72"/>
      <x:c r="G18" s="72"/>
      <x:c r="H18" s="72"/>
    </x:row>
    <x:row r="19">
      <x:c r="A19" s="8" t="str">
        <x:v>Same exact URL count</x:v>
      </x:c>
      <x:c r="B19" t="n">
        <x:f>SUMPRODUCT(--(B8:B15&lt;&gt;""),--(COUNTIF(F8:F15,B8:B15)&gt;0))</x:f>
        <x:v>0</x:v>
      </x:c>
      <x:c r="D19" s="72"/>
      <x:c r="E19" s="72"/>
      <x:c r="F19" s="72"/>
      <x:c r="G19" s="72"/>
      <x:c r="H19" s="72"/>
    </x:row>
    <x:row r="20">
      <x:c r="A20" s="8" t="str">
        <x:v>Same business/domain count</x:v>
      </x:c>
      <x:c r="B20" t="n">
        <x:f>SUMPRODUCT(--(C8:C15&lt;&gt;""),--(COUNTIF(G8:G15,C8:C15)&gt;0))</x:f>
        <x:v>0</x:v>
      </x:c>
      <x:c r="D20" s="72"/>
      <x:c r="E20" s="72"/>
      <x:c r="F20" s="72"/>
      <x:c r="G20" s="72"/>
      <x:c r="H20" s="72"/>
    </x:row>
    <x:row r="21">
      <x:c r="A21" s="8" t="str">
        <x:v>Same page-type count</x:v>
      </x:c>
      <x:c r="B21" t="n">
        <x:f>SUMPRODUCT(--(D8:D15&lt;&gt;""),--(COUNTIF(H8:H15,D8:D15)&gt;0))</x:f>
        <x:v>0</x:v>
      </x:c>
      <x:c r="D21" s="72"/>
      <x:c r="E21" s="72"/>
      <x:c r="F21" s="72"/>
      <x:c r="G21" s="72"/>
      <x:c r="H21" s="72"/>
    </x:row>
    <x:row r="22">
      <x:c r="A22" s="8" t="str">
        <x:v>Quick interpretation</x:v>
      </x:c>
      <x:c r="B22" s="67" t="str">
        <x:f>IF(B19&gt;=7,"Strong overlap: very likely the same search intent.",IF(B19&gt;=3,"GRAY ZONE: 3–6 shared URLs. Review page types, domains, and client priorities.",IF(B20&gt;=4,"Low exact overlap, but many of the same businesses rank with different pages.","Low overlap: likely a meaningfully different intent.")))</x:f>
        <x:v>Low overlap: likely a meaningfully different intent.</x:v>
      </x:c>
      <x:c r="C22" s="67"/>
      <x:c r="D22" s="67"/>
      <x:c r="E22" s="67"/>
      <x:c r="F22" s="67"/>
      <x:c r="G22" s="67"/>
      <x:c r="H22" s="67"/>
    </x:row>
    <x:row r="23">
      <x:c r="A23" s="8" t="str">
        <x:v>Recommended action</x:v>
      </x:c>
      <x:c r="B23" s="67" t="str">
        <x:f>IF(B19&gt;=7,"Keep these keywords in the same cluster/page.",IF(B19&gt;=3,"Discuss on the client call before deciding whether to split.",IF(B20&gt;=4,"Inspect which pages each business uses before splitting.","Consider separate clusters/pages if page types also differ.")))</x:f>
        <x:v>Consider separate clusters/pages if page types also differ.</x:v>
      </x:c>
      <x:c r="C23" s="67"/>
      <x:c r="D23" s="67"/>
      <x:c r="E23" s="67"/>
      <x:c r="F23" s="67"/>
      <x:c r="G23" s="67"/>
      <x:c r="H23" s="67"/>
    </x:row>
    <x:row r="24" ht="8" customHeight="1"/>
    <x:row r="25" ht="26" customHeight="1">
      <x:c r="A25" s="4" t="str">
        <x:v>SERP Overlap Quick Check — Comparison 02</x:v>
      </x:c>
      <x:c r="B25" s="4"/>
      <x:c r="C25" s="4"/>
      <x:c r="D25" s="4"/>
      <x:c r="E25" s="4"/>
      <x:c r="F25" s="4"/>
      <x:c r="G25" s="4"/>
      <x:c r="H25" s="4"/>
    </x:row>
    <x:row r="26">
      <x:c r="A26" s="8" t="str">
        <x:v>Cluster / Topic</x:v>
      </x:c>
      <x:c r="B26" s="14"/>
      <x:c r="C26" s="14"/>
      <x:c r="D26" s="14"/>
      <x:c r="E26" s="14"/>
      <x:c r="F26" s="14"/>
      <x:c r="G26" s="14"/>
      <x:c r="H26" s="14"/>
    </x:row>
    <x:row r="27">
      <x:c r="A27" s="8" t="str">
        <x:v>Keyword A</x:v>
      </x:c>
      <x:c r="B27" s="14"/>
      <x:c r="C27" s="14"/>
      <x:c r="D27" s="14"/>
      <x:c r="E27" s="14"/>
      <x:c r="F27" s="14"/>
      <x:c r="G27" s="14"/>
      <x:c r="H27" s="14"/>
    </x:row>
    <x:row r="28">
      <x:c r="A28" s="8" t="str">
        <x:v>Keyword B</x:v>
      </x:c>
      <x:c r="B28" s="14"/>
      <x:c r="C28" s="14"/>
      <x:c r="D28" s="14"/>
      <x:c r="E28" s="14"/>
      <x:c r="F28" s="14"/>
      <x:c r="G28" s="14"/>
      <x:c r="H28" s="14"/>
    </x:row>
    <x:row r="29">
      <x:c r="A29" s="8" t="str">
        <x:v>Decision</x:v>
      </x:c>
      <x:c r="B29" s="15" t="str">
        <x:f>B47</x:f>
        <x:v>Consider separate clusters/pages if page types also differ.</x:v>
      </x:c>
      <x:c r="C29" s="15"/>
      <x:c r="D29" s="15"/>
      <x:c r="E29" s="15"/>
      <x:c r="F29" s="15"/>
      <x:c r="G29" s="15"/>
      <x:c r="H29" s="15"/>
    </x:row>
    <x:row r="31">
      <x:c r="A31" s="22" t="str">
        <x:v>Rank</x:v>
      </x:c>
      <x:c r="B31" s="22" t="str">
        <x:v>Keyword A URL</x:v>
      </x:c>
      <x:c r="C31" s="22" t="str">
        <x:v>Keyword A Business/Domain</x:v>
      </x:c>
      <x:c r="D31" s="22" t="str">
        <x:v>Page Type</x:v>
      </x:c>
      <x:c r="E31" s="22" t="str">
        <x:v>Rank</x:v>
      </x:c>
      <x:c r="F31" s="22" t="str">
        <x:v>Keyword B URL</x:v>
      </x:c>
      <x:c r="G31" s="22" t="str">
        <x:v>Keyword B Business/Domain</x:v>
      </x:c>
      <x:c r="H31" s="22" t="str">
        <x:v>Page Type</x:v>
      </x:c>
    </x:row>
    <x:row r="32">
      <x:c r="A32" s="45" t="n">
        <x:v>1</x:v>
      </x:c>
      <x:c r="B32" s="29"/>
      <x:c r="C32" s="29"/>
      <x:c r="D32" s="29"/>
      <x:c r="E32" s="51" t="n">
        <x:v>1</x:v>
      </x:c>
      <x:c r="F32" s="29"/>
      <x:c r="G32" s="29"/>
      <x:c r="H32" s="30"/>
    </x:row>
    <x:row r="33">
      <x:c r="A33" s="46" t="n">
        <x:v>2</x:v>
      </x:c>
      <x:c r="B33" s="32"/>
      <x:c r="C33" s="32"/>
      <x:c r="D33" s="32"/>
      <x:c r="E33" s="52" t="n">
        <x:v>2</x:v>
      </x:c>
      <x:c r="F33" s="32"/>
      <x:c r="G33" s="32"/>
      <x:c r="H33" s="33"/>
    </x:row>
    <x:row r="34">
      <x:c r="A34" s="46" t="n">
        <x:v>3</x:v>
      </x:c>
      <x:c r="B34" s="32"/>
      <x:c r="C34" s="32"/>
      <x:c r="D34" s="32"/>
      <x:c r="E34" s="52" t="n">
        <x:v>3</x:v>
      </x:c>
      <x:c r="F34" s="32"/>
      <x:c r="G34" s="32"/>
      <x:c r="H34" s="33"/>
    </x:row>
    <x:row r="35">
      <x:c r="A35" s="46" t="n">
        <x:v>4</x:v>
      </x:c>
      <x:c r="B35" s="32"/>
      <x:c r="C35" s="32"/>
      <x:c r="D35" s="32"/>
      <x:c r="E35" s="52" t="n">
        <x:v>4</x:v>
      </x:c>
      <x:c r="F35" s="32"/>
      <x:c r="G35" s="32"/>
      <x:c r="H35" s="33"/>
    </x:row>
    <x:row r="36">
      <x:c r="A36" s="46" t="n">
        <x:v>5</x:v>
      </x:c>
      <x:c r="B36" s="32"/>
      <x:c r="C36" s="32"/>
      <x:c r="D36" s="32"/>
      <x:c r="E36" s="52" t="n">
        <x:v>5</x:v>
      </x:c>
      <x:c r="F36" s="32"/>
      <x:c r="G36" s="32"/>
      <x:c r="H36" s="33"/>
    </x:row>
    <x:row r="37">
      <x:c r="A37" s="46" t="n">
        <x:v>6</x:v>
      </x:c>
      <x:c r="B37" s="32"/>
      <x:c r="C37" s="32"/>
      <x:c r="D37" s="32"/>
      <x:c r="E37" s="52" t="n">
        <x:v>6</x:v>
      </x:c>
      <x:c r="F37" s="32"/>
      <x:c r="G37" s="32"/>
      <x:c r="H37" s="33"/>
    </x:row>
    <x:row r="38">
      <x:c r="A38" s="46" t="n">
        <x:v>7</x:v>
      </x:c>
      <x:c r="B38" s="32"/>
      <x:c r="C38" s="32"/>
      <x:c r="D38" s="32"/>
      <x:c r="E38" s="52" t="n">
        <x:v>7</x:v>
      </x:c>
      <x:c r="F38" s="32"/>
      <x:c r="G38" s="32"/>
      <x:c r="H38" s="33"/>
    </x:row>
    <x:row r="39">
      <x:c r="A39" s="47" t="n">
        <x:v>8</x:v>
      </x:c>
      <x:c r="B39" s="35"/>
      <x:c r="C39" s="35"/>
      <x:c r="D39" s="35"/>
      <x:c r="E39" s="53" t="n">
        <x:v>8</x:v>
      </x:c>
      <x:c r="F39" s="35"/>
      <x:c r="G39" s="35"/>
      <x:c r="H39" s="36"/>
    </x:row>
    <x:row r="40">
      <x:c r="A40" s="57" t="str">
        <x:v>MATCH HIGHLIGHTS</x:v>
      </x:c>
      <x:c r="B40" s="57"/>
    </x:row>
    <x:row r="41">
      <x:c r="A41" s="60" t="str">
        <x:v>Exact URL</x:v>
      </x:c>
      <x:c r="B41" s="64" t="str">
        <x:v>Same business/domain</x:v>
      </x:c>
    </x:row>
    <x:row r="42">
      <x:c r="A42" s="8" t="str">
        <x:v>Overlap Signal</x:v>
      </x:c>
      <x:c r="D42" s="72" t="str">
        <x:v>FAST RULE
• 7–8 same URLs = strong overlap
• 3–6 same URLs = gray zone; discuss
• 0–2 same URLs = likely different intent
Use 5–8 organic results. Ignore ads, map packs, and duplicate sitelinks.</x:v>
      </x:c>
      <x:c r="E42" s="72"/>
      <x:c r="F42" s="72"/>
      <x:c r="G42" s="72"/>
      <x:c r="H42" s="72"/>
    </x:row>
    <x:row r="43">
      <x:c r="A43" s="8" t="str">
        <x:v>Same exact URL count</x:v>
      </x:c>
      <x:c r="B43" t="n">
        <x:f>SUMPRODUCT(--(B32:B39&lt;&gt;""),--(COUNTIF(F32:F39,B32:B39)&gt;0))</x:f>
        <x:v>0</x:v>
      </x:c>
      <x:c r="D43" s="72"/>
      <x:c r="E43" s="72"/>
      <x:c r="F43" s="72"/>
      <x:c r="G43" s="72"/>
      <x:c r="H43" s="72"/>
    </x:row>
    <x:row r="44">
      <x:c r="A44" s="8" t="str">
        <x:v>Same business/domain count</x:v>
      </x:c>
      <x:c r="B44" t="n">
        <x:f>SUMPRODUCT(--(C32:C39&lt;&gt;""),--(COUNTIF(G32:G39,C32:C39)&gt;0))</x:f>
        <x:v>0</x:v>
      </x:c>
      <x:c r="D44" s="72"/>
      <x:c r="E44" s="72"/>
      <x:c r="F44" s="72"/>
      <x:c r="G44" s="72"/>
      <x:c r="H44" s="72"/>
    </x:row>
    <x:row r="45">
      <x:c r="A45" s="8" t="str">
        <x:v>Same page-type count</x:v>
      </x:c>
      <x:c r="B45" t="n">
        <x:f>SUMPRODUCT(--(D32:D39&lt;&gt;""),--(COUNTIF(H32:H39,D32:D39)&gt;0))</x:f>
        <x:v>0</x:v>
      </x:c>
      <x:c r="D45" s="72"/>
      <x:c r="E45" s="72"/>
      <x:c r="F45" s="72"/>
      <x:c r="G45" s="72"/>
      <x:c r="H45" s="72"/>
    </x:row>
    <x:row r="46">
      <x:c r="A46" s="8" t="str">
        <x:v>Quick interpretation</x:v>
      </x:c>
      <x:c r="B46" s="67" t="str">
        <x:f>IF(B43&gt;=7,"Strong overlap: very likely the same search intent.",IF(B43&gt;=3,"GRAY ZONE: 3–6 shared URLs. Review page types, domains, and client priorities.",IF(B44&gt;=4,"Low exact overlap, but many of the same businesses rank with different pages.","Low overlap: likely a meaningfully different intent.")))</x:f>
        <x:v>Low overlap: likely a meaningfully different intent.</x:v>
      </x:c>
      <x:c r="C46" s="67"/>
      <x:c r="D46" s="67"/>
      <x:c r="E46" s="67"/>
      <x:c r="F46" s="67"/>
      <x:c r="G46" s="67"/>
      <x:c r="H46" s="67"/>
    </x:row>
    <x:row r="47">
      <x:c r="A47" s="8" t="str">
        <x:v>Recommended action</x:v>
      </x:c>
      <x:c r="B47" s="67" t="str">
        <x:f>IF(B43&gt;=7,"Keep these keywords in the same cluster/page.",IF(B43&gt;=3,"Discuss on the client call before deciding whether to split.",IF(B44&gt;=4,"Inspect which pages each business uses before splitting.","Consider separate clusters/pages if page types also differ.")))</x:f>
        <x:v>Consider separate clusters/pages if page types also differ.</x:v>
      </x:c>
      <x:c r="C47" s="67"/>
      <x:c r="D47" s="67"/>
      <x:c r="E47" s="67"/>
      <x:c r="F47" s="67"/>
      <x:c r="G47" s="67"/>
      <x:c r="H47" s="67"/>
    </x:row>
    <x:row r="48" ht="8" customHeight="1"/>
    <x:row r="49" ht="26" customHeight="1">
      <x:c r="A49" s="4" t="str">
        <x:v>SERP Overlap Quick Check — Comparison 03</x:v>
      </x:c>
      <x:c r="B49" s="4"/>
      <x:c r="C49" s="4"/>
      <x:c r="D49" s="4"/>
      <x:c r="E49" s="4"/>
      <x:c r="F49" s="4"/>
      <x:c r="G49" s="4"/>
      <x:c r="H49" s="4"/>
    </x:row>
    <x:row r="50">
      <x:c r="A50" s="8" t="str">
        <x:v>Cluster / Topic</x:v>
      </x:c>
      <x:c r="B50" s="14"/>
      <x:c r="C50" s="14"/>
      <x:c r="D50" s="14"/>
      <x:c r="E50" s="14"/>
      <x:c r="F50" s="14"/>
      <x:c r="G50" s="14"/>
      <x:c r="H50" s="14"/>
    </x:row>
    <x:row r="51">
      <x:c r="A51" s="8" t="str">
        <x:v>Keyword A</x:v>
      </x:c>
      <x:c r="B51" s="14"/>
      <x:c r="C51" s="14"/>
      <x:c r="D51" s="14"/>
      <x:c r="E51" s="14"/>
      <x:c r="F51" s="14"/>
      <x:c r="G51" s="14"/>
      <x:c r="H51" s="14"/>
    </x:row>
    <x:row r="52">
      <x:c r="A52" s="8" t="str">
        <x:v>Keyword B</x:v>
      </x:c>
      <x:c r="B52" s="14"/>
      <x:c r="C52" s="14"/>
      <x:c r="D52" s="14"/>
      <x:c r="E52" s="14"/>
      <x:c r="F52" s="14"/>
      <x:c r="G52" s="14"/>
      <x:c r="H52" s="14"/>
    </x:row>
    <x:row r="53">
      <x:c r="A53" s="8" t="str">
        <x:v>Decision</x:v>
      </x:c>
      <x:c r="B53" s="15" t="str">
        <x:f>B71</x:f>
        <x:v>Consider separate clusters/pages if page types also differ.</x:v>
      </x:c>
      <x:c r="C53" s="15"/>
      <x:c r="D53" s="15"/>
      <x:c r="E53" s="15"/>
      <x:c r="F53" s="15"/>
      <x:c r="G53" s="15"/>
      <x:c r="H53" s="15"/>
    </x:row>
    <x:row r="55">
      <x:c r="A55" s="22" t="str">
        <x:v>Rank</x:v>
      </x:c>
      <x:c r="B55" s="22" t="str">
        <x:v>Keyword A URL</x:v>
      </x:c>
      <x:c r="C55" s="22" t="str">
        <x:v>Keyword A Business/Domain</x:v>
      </x:c>
      <x:c r="D55" s="22" t="str">
        <x:v>Page Type</x:v>
      </x:c>
      <x:c r="E55" s="22" t="str">
        <x:v>Rank</x:v>
      </x:c>
      <x:c r="F55" s="22" t="str">
        <x:v>Keyword B URL</x:v>
      </x:c>
      <x:c r="G55" s="22" t="str">
        <x:v>Keyword B Business/Domain</x:v>
      </x:c>
      <x:c r="H55" s="22" t="str">
        <x:v>Page Type</x:v>
      </x:c>
    </x:row>
    <x:row r="56">
      <x:c r="A56" s="45" t="n">
        <x:v>1</x:v>
      </x:c>
      <x:c r="B56" s="29"/>
      <x:c r="C56" s="29"/>
      <x:c r="D56" s="29"/>
      <x:c r="E56" s="51" t="n">
        <x:v>1</x:v>
      </x:c>
      <x:c r="F56" s="29"/>
      <x:c r="G56" s="29"/>
      <x:c r="H56" s="30"/>
    </x:row>
    <x:row r="57">
      <x:c r="A57" s="46" t="n">
        <x:v>2</x:v>
      </x:c>
      <x:c r="B57" s="32"/>
      <x:c r="C57" s="32"/>
      <x:c r="D57" s="32"/>
      <x:c r="E57" s="52" t="n">
        <x:v>2</x:v>
      </x:c>
      <x:c r="F57" s="32"/>
      <x:c r="G57" s="32"/>
      <x:c r="H57" s="33"/>
    </x:row>
    <x:row r="58">
      <x:c r="A58" s="46" t="n">
        <x:v>3</x:v>
      </x:c>
      <x:c r="B58" s="32"/>
      <x:c r="C58" s="32"/>
      <x:c r="D58" s="32"/>
      <x:c r="E58" s="52" t="n">
        <x:v>3</x:v>
      </x:c>
      <x:c r="F58" s="32"/>
      <x:c r="G58" s="32"/>
      <x:c r="H58" s="33"/>
    </x:row>
    <x:row r="59">
      <x:c r="A59" s="46" t="n">
        <x:v>4</x:v>
      </x:c>
      <x:c r="B59" s="32"/>
      <x:c r="C59" s="32"/>
      <x:c r="D59" s="32"/>
      <x:c r="E59" s="52" t="n">
        <x:v>4</x:v>
      </x:c>
      <x:c r="F59" s="32"/>
      <x:c r="G59" s="32"/>
      <x:c r="H59" s="33"/>
    </x:row>
    <x:row r="60">
      <x:c r="A60" s="46" t="n">
        <x:v>5</x:v>
      </x:c>
      <x:c r="B60" s="32"/>
      <x:c r="C60" s="32"/>
      <x:c r="D60" s="32"/>
      <x:c r="E60" s="52" t="n">
        <x:v>5</x:v>
      </x:c>
      <x:c r="F60" s="32"/>
      <x:c r="G60" s="32"/>
      <x:c r="H60" s="33"/>
    </x:row>
    <x:row r="61">
      <x:c r="A61" s="46" t="n">
        <x:v>6</x:v>
      </x:c>
      <x:c r="B61" s="32"/>
      <x:c r="C61" s="32"/>
      <x:c r="D61" s="32"/>
      <x:c r="E61" s="52" t="n">
        <x:v>6</x:v>
      </x:c>
      <x:c r="F61" s="32"/>
      <x:c r="G61" s="32"/>
      <x:c r="H61" s="33"/>
    </x:row>
    <x:row r="62">
      <x:c r="A62" s="46" t="n">
        <x:v>7</x:v>
      </x:c>
      <x:c r="B62" s="32"/>
      <x:c r="C62" s="32"/>
      <x:c r="D62" s="32"/>
      <x:c r="E62" s="52" t="n">
        <x:v>7</x:v>
      </x:c>
      <x:c r="F62" s="32"/>
      <x:c r="G62" s="32"/>
      <x:c r="H62" s="33"/>
    </x:row>
    <x:row r="63">
      <x:c r="A63" s="47" t="n">
        <x:v>8</x:v>
      </x:c>
      <x:c r="B63" s="35"/>
      <x:c r="C63" s="35"/>
      <x:c r="D63" s="35"/>
      <x:c r="E63" s="53" t="n">
        <x:v>8</x:v>
      </x:c>
      <x:c r="F63" s="35"/>
      <x:c r="G63" s="35"/>
      <x:c r="H63" s="36"/>
    </x:row>
    <x:row r="64">
      <x:c r="A64" s="57" t="str">
        <x:v>MATCH HIGHLIGHTS</x:v>
      </x:c>
      <x:c r="B64" s="57"/>
    </x:row>
    <x:row r="65">
      <x:c r="A65" s="60" t="str">
        <x:v>Exact URL</x:v>
      </x:c>
      <x:c r="B65" s="64" t="str">
        <x:v>Same business/domain</x:v>
      </x:c>
    </x:row>
    <x:row r="66">
      <x:c r="A66" s="8" t="str">
        <x:v>Overlap Signal</x:v>
      </x:c>
      <x:c r="D66" s="72" t="str">
        <x:v>FAST RULE
• 7–8 same URLs = strong overlap
• 3–6 same URLs = gray zone; discuss
• 0–2 same URLs = likely different intent
Use 5–8 organic results. Ignore ads, map packs, and duplicate sitelinks.</x:v>
      </x:c>
      <x:c r="E66" s="72"/>
      <x:c r="F66" s="72"/>
      <x:c r="G66" s="72"/>
      <x:c r="H66" s="72"/>
    </x:row>
    <x:row r="67">
      <x:c r="A67" s="8" t="str">
        <x:v>Same exact URL count</x:v>
      </x:c>
      <x:c r="B67" t="n">
        <x:f>SUMPRODUCT(--(B56:B63&lt;&gt;""),--(COUNTIF(F56:F63,B56:B63)&gt;0))</x:f>
        <x:v>0</x:v>
      </x:c>
      <x:c r="D67" s="72"/>
      <x:c r="E67" s="72"/>
      <x:c r="F67" s="72"/>
      <x:c r="G67" s="72"/>
      <x:c r="H67" s="72"/>
    </x:row>
    <x:row r="68">
      <x:c r="A68" s="8" t="str">
        <x:v>Same business/domain count</x:v>
      </x:c>
      <x:c r="B68" t="n">
        <x:f>SUMPRODUCT(--(C56:C63&lt;&gt;""),--(COUNTIF(G56:G63,C56:C63)&gt;0))</x:f>
        <x:v>0</x:v>
      </x:c>
      <x:c r="D68" s="72"/>
      <x:c r="E68" s="72"/>
      <x:c r="F68" s="72"/>
      <x:c r="G68" s="72"/>
      <x:c r="H68" s="72"/>
    </x:row>
    <x:row r="69">
      <x:c r="A69" s="8" t="str">
        <x:v>Same page-type count</x:v>
      </x:c>
      <x:c r="B69" t="n">
        <x:f>SUMPRODUCT(--(D56:D63&lt;&gt;""),--(COUNTIF(H56:H63,D56:D63)&gt;0))</x:f>
        <x:v>0</x:v>
      </x:c>
      <x:c r="D69" s="72"/>
      <x:c r="E69" s="72"/>
      <x:c r="F69" s="72"/>
      <x:c r="G69" s="72"/>
      <x:c r="H69" s="72"/>
    </x:row>
    <x:row r="70">
      <x:c r="A70" s="8" t="str">
        <x:v>Quick interpretation</x:v>
      </x:c>
      <x:c r="B70" s="67" t="str">
        <x:f>IF(B67&gt;=7,"Strong overlap: very likely the same search intent.",IF(B67&gt;=3,"GRAY ZONE: 3–6 shared URLs. Review page types, domains, and client priorities.",IF(B68&gt;=4,"Low exact overlap, but many of the same businesses rank with different pages.","Low overlap: likely a meaningfully different intent.")))</x:f>
        <x:v>Low overlap: likely a meaningfully different intent.</x:v>
      </x:c>
      <x:c r="C70" s="67"/>
      <x:c r="D70" s="67"/>
      <x:c r="E70" s="67"/>
      <x:c r="F70" s="67"/>
      <x:c r="G70" s="67"/>
      <x:c r="H70" s="67"/>
    </x:row>
    <x:row r="71">
      <x:c r="A71" s="8" t="str">
        <x:v>Recommended action</x:v>
      </x:c>
      <x:c r="B71" s="67" t="str">
        <x:f>IF(B67&gt;=7,"Keep these keywords in the same cluster/page.",IF(B67&gt;=3,"Discuss on the client call before deciding whether to split.",IF(B68&gt;=4,"Inspect which pages each business uses before splitting.","Consider separate clusters/pages if page types also differ.")))</x:f>
        <x:v>Consider separate clusters/pages if page types also differ.</x:v>
      </x:c>
      <x:c r="C71" s="67"/>
      <x:c r="D71" s="67"/>
      <x:c r="E71" s="67"/>
      <x:c r="F71" s="67"/>
      <x:c r="G71" s="67"/>
      <x:c r="H71" s="67"/>
    </x:row>
    <x:row r="72" ht="8" customHeight="1"/>
    <x:row r="73" ht="26" customHeight="1">
      <x:c r="A73" s="4" t="str">
        <x:v>SERP Overlap Quick Check — Comparison 04</x:v>
      </x:c>
      <x:c r="B73" s="4"/>
      <x:c r="C73" s="4"/>
      <x:c r="D73" s="4"/>
      <x:c r="E73" s="4"/>
      <x:c r="F73" s="4"/>
      <x:c r="G73" s="4"/>
      <x:c r="H73" s="4"/>
    </x:row>
    <x:row r="74">
      <x:c r="A74" s="8" t="str">
        <x:v>Cluster / Topic</x:v>
      </x:c>
      <x:c r="B74" s="14"/>
      <x:c r="C74" s="14"/>
      <x:c r="D74" s="14"/>
      <x:c r="E74" s="14"/>
      <x:c r="F74" s="14"/>
      <x:c r="G74" s="14"/>
      <x:c r="H74" s="14"/>
    </x:row>
    <x:row r="75">
      <x:c r="A75" s="8" t="str">
        <x:v>Keyword A</x:v>
      </x:c>
      <x:c r="B75" s="14"/>
      <x:c r="C75" s="14"/>
      <x:c r="D75" s="14"/>
      <x:c r="E75" s="14"/>
      <x:c r="F75" s="14"/>
      <x:c r="G75" s="14"/>
      <x:c r="H75" s="14"/>
    </x:row>
    <x:row r="76">
      <x:c r="A76" s="8" t="str">
        <x:v>Keyword B</x:v>
      </x:c>
      <x:c r="B76" s="14"/>
      <x:c r="C76" s="14"/>
      <x:c r="D76" s="14"/>
      <x:c r="E76" s="14"/>
      <x:c r="F76" s="14"/>
      <x:c r="G76" s="14"/>
      <x:c r="H76" s="14"/>
    </x:row>
    <x:row r="77">
      <x:c r="A77" s="8" t="str">
        <x:v>Decision</x:v>
      </x:c>
      <x:c r="B77" s="15" t="str">
        <x:f>B95</x:f>
        <x:v>Consider separate clusters/pages if page types also differ.</x:v>
      </x:c>
      <x:c r="C77" s="15"/>
      <x:c r="D77" s="15"/>
      <x:c r="E77" s="15"/>
      <x:c r="F77" s="15"/>
      <x:c r="G77" s="15"/>
      <x:c r="H77" s="15"/>
    </x:row>
    <x:row r="79">
      <x:c r="A79" s="22" t="str">
        <x:v>Rank</x:v>
      </x:c>
      <x:c r="B79" s="22" t="str">
        <x:v>Keyword A URL</x:v>
      </x:c>
      <x:c r="C79" s="22" t="str">
        <x:v>Keyword A Business/Domain</x:v>
      </x:c>
      <x:c r="D79" s="22" t="str">
        <x:v>Page Type</x:v>
      </x:c>
      <x:c r="E79" s="22" t="str">
        <x:v>Rank</x:v>
      </x:c>
      <x:c r="F79" s="22" t="str">
        <x:v>Keyword B URL</x:v>
      </x:c>
      <x:c r="G79" s="22" t="str">
        <x:v>Keyword B Business/Domain</x:v>
      </x:c>
      <x:c r="H79" s="22" t="str">
        <x:v>Page Type</x:v>
      </x:c>
    </x:row>
    <x:row r="80">
      <x:c r="A80" s="45" t="n">
        <x:v>1</x:v>
      </x:c>
      <x:c r="B80" s="29"/>
      <x:c r="C80" s="29"/>
      <x:c r="D80" s="29"/>
      <x:c r="E80" s="51" t="n">
        <x:v>1</x:v>
      </x:c>
      <x:c r="F80" s="29"/>
      <x:c r="G80" s="29"/>
      <x:c r="H80" s="30"/>
    </x:row>
    <x:row r="81">
      <x:c r="A81" s="46" t="n">
        <x:v>2</x:v>
      </x:c>
      <x:c r="B81" s="32"/>
      <x:c r="C81" s="32"/>
      <x:c r="D81" s="32"/>
      <x:c r="E81" s="52" t="n">
        <x:v>2</x:v>
      </x:c>
      <x:c r="F81" s="32"/>
      <x:c r="G81" s="32"/>
      <x:c r="H81" s="33"/>
    </x:row>
    <x:row r="82">
      <x:c r="A82" s="46" t="n">
        <x:v>3</x:v>
      </x:c>
      <x:c r="B82" s="32"/>
      <x:c r="C82" s="32"/>
      <x:c r="D82" s="32"/>
      <x:c r="E82" s="52" t="n">
        <x:v>3</x:v>
      </x:c>
      <x:c r="F82" s="32"/>
      <x:c r="G82" s="32"/>
      <x:c r="H82" s="33"/>
    </x:row>
    <x:row r="83">
      <x:c r="A83" s="46" t="n">
        <x:v>4</x:v>
      </x:c>
      <x:c r="B83" s="32"/>
      <x:c r="C83" s="32"/>
      <x:c r="D83" s="32"/>
      <x:c r="E83" s="52" t="n">
        <x:v>4</x:v>
      </x:c>
      <x:c r="F83" s="32"/>
      <x:c r="G83" s="32"/>
      <x:c r="H83" s="33"/>
    </x:row>
    <x:row r="84">
      <x:c r="A84" s="46" t="n">
        <x:v>5</x:v>
      </x:c>
      <x:c r="B84" s="32"/>
      <x:c r="C84" s="32"/>
      <x:c r="D84" s="32"/>
      <x:c r="E84" s="52" t="n">
        <x:v>5</x:v>
      </x:c>
      <x:c r="F84" s="32"/>
      <x:c r="G84" s="32"/>
      <x:c r="H84" s="33"/>
    </x:row>
    <x:row r="85">
      <x:c r="A85" s="46" t="n">
        <x:v>6</x:v>
      </x:c>
      <x:c r="B85" s="32"/>
      <x:c r="C85" s="32"/>
      <x:c r="D85" s="32"/>
      <x:c r="E85" s="52" t="n">
        <x:v>6</x:v>
      </x:c>
      <x:c r="F85" s="32"/>
      <x:c r="G85" s="32"/>
      <x:c r="H85" s="33"/>
    </x:row>
    <x:row r="86">
      <x:c r="A86" s="46" t="n">
        <x:v>7</x:v>
      </x:c>
      <x:c r="B86" s="32"/>
      <x:c r="C86" s="32"/>
      <x:c r="D86" s="32"/>
      <x:c r="E86" s="52" t="n">
        <x:v>7</x:v>
      </x:c>
      <x:c r="F86" s="32"/>
      <x:c r="G86" s="32"/>
      <x:c r="H86" s="33"/>
    </x:row>
    <x:row r="87">
      <x:c r="A87" s="47" t="n">
        <x:v>8</x:v>
      </x:c>
      <x:c r="B87" s="35"/>
      <x:c r="C87" s="35"/>
      <x:c r="D87" s="35"/>
      <x:c r="E87" s="53" t="n">
        <x:v>8</x:v>
      </x:c>
      <x:c r="F87" s="35"/>
      <x:c r="G87" s="35"/>
      <x:c r="H87" s="36"/>
    </x:row>
    <x:row r="88">
      <x:c r="A88" s="57" t="str">
        <x:v>MATCH HIGHLIGHTS</x:v>
      </x:c>
      <x:c r="B88" s="57"/>
    </x:row>
    <x:row r="89">
      <x:c r="A89" s="60" t="str">
        <x:v>Exact URL</x:v>
      </x:c>
      <x:c r="B89" s="64" t="str">
        <x:v>Same business/domain</x:v>
      </x:c>
    </x:row>
    <x:row r="90">
      <x:c r="A90" s="8" t="str">
        <x:v>Overlap Signal</x:v>
      </x:c>
      <x:c r="D90" s="72" t="str">
        <x:v>FAST RULE
• 7–8 same URLs = strong overlap
• 3–6 same URLs = gray zone; discuss
• 0–2 same URLs = likely different intent
Use 5–8 organic results. Ignore ads, map packs, and duplicate sitelinks.</x:v>
      </x:c>
      <x:c r="E90" s="72"/>
      <x:c r="F90" s="72"/>
      <x:c r="G90" s="72"/>
      <x:c r="H90" s="72"/>
    </x:row>
    <x:row r="91">
      <x:c r="A91" s="8" t="str">
        <x:v>Same exact URL count</x:v>
      </x:c>
      <x:c r="B91" t="n">
        <x:f>SUMPRODUCT(--(B80:B87&lt;&gt;""),--(COUNTIF(F80:F87,B80:B87)&gt;0))</x:f>
        <x:v>0</x:v>
      </x:c>
      <x:c r="D91" s="72"/>
      <x:c r="E91" s="72"/>
      <x:c r="F91" s="72"/>
      <x:c r="G91" s="72"/>
      <x:c r="H91" s="72"/>
    </x:row>
    <x:row r="92">
      <x:c r="A92" s="8" t="str">
        <x:v>Same business/domain count</x:v>
      </x:c>
      <x:c r="B92" t="n">
        <x:f>SUMPRODUCT(--(C80:C87&lt;&gt;""),--(COUNTIF(G80:G87,C80:C87)&gt;0))</x:f>
        <x:v>0</x:v>
      </x:c>
      <x:c r="D92" s="72"/>
      <x:c r="E92" s="72"/>
      <x:c r="F92" s="72"/>
      <x:c r="G92" s="72"/>
      <x:c r="H92" s="72"/>
    </x:row>
    <x:row r="93">
      <x:c r="A93" s="8" t="str">
        <x:v>Same page-type count</x:v>
      </x:c>
      <x:c r="B93" t="n">
        <x:f>SUMPRODUCT(--(D80:D87&lt;&gt;""),--(COUNTIF(H80:H87,D80:D87)&gt;0))</x:f>
        <x:v>0</x:v>
      </x:c>
      <x:c r="D93" s="72"/>
      <x:c r="E93" s="72"/>
      <x:c r="F93" s="72"/>
      <x:c r="G93" s="72"/>
      <x:c r="H93" s="72"/>
    </x:row>
    <x:row r="94">
      <x:c r="A94" s="8" t="str">
        <x:v>Quick interpretation</x:v>
      </x:c>
      <x:c r="B94" s="67" t="str">
        <x:f>IF(B91&gt;=7,"Strong overlap: very likely the same search intent.",IF(B91&gt;=3,"GRAY ZONE: 3–6 shared URLs. Review page types, domains, and client priorities.",IF(B92&gt;=4,"Low exact overlap, but many of the same businesses rank with different pages.","Low overlap: likely a meaningfully different intent.")))</x:f>
        <x:v>Low overlap: likely a meaningfully different intent.</x:v>
      </x:c>
      <x:c r="C94" s="67"/>
      <x:c r="D94" s="67"/>
      <x:c r="E94" s="67"/>
      <x:c r="F94" s="67"/>
      <x:c r="G94" s="67"/>
      <x:c r="H94" s="67"/>
    </x:row>
    <x:row r="95">
      <x:c r="A95" s="8" t="str">
        <x:v>Recommended action</x:v>
      </x:c>
      <x:c r="B95" s="67" t="str">
        <x:f>IF(B91&gt;=7,"Keep these keywords in the same cluster/page.",IF(B91&gt;=3,"Discuss on the client call before deciding whether to split.",IF(B92&gt;=4,"Inspect which pages each business uses before splitting.","Consider separate clusters/pages if page types also differ.")))</x:f>
        <x:v>Consider separate clusters/pages if page types also differ.</x:v>
      </x:c>
      <x:c r="C95" s="67"/>
      <x:c r="D95" s="67"/>
      <x:c r="E95" s="67"/>
      <x:c r="F95" s="67"/>
      <x:c r="G95" s="67"/>
      <x:c r="H95" s="67"/>
    </x:row>
    <x:row r="96" ht="8" customHeight="1"/>
    <x:row r="97" ht="26" customHeight="1">
      <x:c r="A97" s="4" t="str">
        <x:v>SERP Overlap Quick Check — Comparison 05</x:v>
      </x:c>
      <x:c r="B97" s="4"/>
      <x:c r="C97" s="4"/>
      <x:c r="D97" s="4"/>
      <x:c r="E97" s="4"/>
      <x:c r="F97" s="4"/>
      <x:c r="G97" s="4"/>
      <x:c r="H97" s="4"/>
    </x:row>
    <x:row r="98">
      <x:c r="A98" s="8" t="str">
        <x:v>Cluster / Topic</x:v>
      </x:c>
      <x:c r="B98" s="14"/>
      <x:c r="C98" s="14"/>
      <x:c r="D98" s="14"/>
      <x:c r="E98" s="14"/>
      <x:c r="F98" s="14"/>
      <x:c r="G98" s="14"/>
      <x:c r="H98" s="14"/>
    </x:row>
    <x:row r="99">
      <x:c r="A99" s="8" t="str">
        <x:v>Keyword A</x:v>
      </x:c>
      <x:c r="B99" s="14"/>
      <x:c r="C99" s="14"/>
      <x:c r="D99" s="14"/>
      <x:c r="E99" s="14"/>
      <x:c r="F99" s="14"/>
      <x:c r="G99" s="14"/>
      <x:c r="H99" s="14"/>
    </x:row>
    <x:row r="100">
      <x:c r="A100" s="8" t="str">
        <x:v>Keyword B</x:v>
      </x:c>
      <x:c r="B100" s="14"/>
      <x:c r="C100" s="14"/>
      <x:c r="D100" s="14"/>
      <x:c r="E100" s="14"/>
      <x:c r="F100" s="14"/>
      <x:c r="G100" s="14"/>
      <x:c r="H100" s="14"/>
    </x:row>
    <x:row r="101">
      <x:c r="A101" s="8" t="str">
        <x:v>Decision</x:v>
      </x:c>
      <x:c r="B101" s="15" t="str">
        <x:f>B119</x:f>
        <x:v>Consider separate clusters/pages if page types also differ.</x:v>
      </x:c>
      <x:c r="C101" s="15"/>
      <x:c r="D101" s="15"/>
      <x:c r="E101" s="15"/>
      <x:c r="F101" s="15"/>
      <x:c r="G101" s="15"/>
      <x:c r="H101" s="15"/>
    </x:row>
    <x:row r="103">
      <x:c r="A103" s="22" t="str">
        <x:v>Rank</x:v>
      </x:c>
      <x:c r="B103" s="22" t="str">
        <x:v>Keyword A URL</x:v>
      </x:c>
      <x:c r="C103" s="22" t="str">
        <x:v>Keyword A Business/Domain</x:v>
      </x:c>
      <x:c r="D103" s="22" t="str">
        <x:v>Page Type</x:v>
      </x:c>
      <x:c r="E103" s="22" t="str">
        <x:v>Rank</x:v>
      </x:c>
      <x:c r="F103" s="22" t="str">
        <x:v>Keyword B URL</x:v>
      </x:c>
      <x:c r="G103" s="22" t="str">
        <x:v>Keyword B Business/Domain</x:v>
      </x:c>
      <x:c r="H103" s="22" t="str">
        <x:v>Page Type</x:v>
      </x:c>
    </x:row>
    <x:row r="104">
      <x:c r="A104" s="45" t="n">
        <x:v>1</x:v>
      </x:c>
      <x:c r="B104" s="29"/>
      <x:c r="C104" s="29"/>
      <x:c r="D104" s="29"/>
      <x:c r="E104" s="51" t="n">
        <x:v>1</x:v>
      </x:c>
      <x:c r="F104" s="29"/>
      <x:c r="G104" s="29"/>
      <x:c r="H104" s="30"/>
    </x:row>
    <x:row r="105">
      <x:c r="A105" s="46" t="n">
        <x:v>2</x:v>
      </x:c>
      <x:c r="B105" s="32"/>
      <x:c r="C105" s="32"/>
      <x:c r="D105" s="32"/>
      <x:c r="E105" s="52" t="n">
        <x:v>2</x:v>
      </x:c>
      <x:c r="F105" s="32"/>
      <x:c r="G105" s="32"/>
      <x:c r="H105" s="33"/>
    </x:row>
    <x:row r="106">
      <x:c r="A106" s="46" t="n">
        <x:v>3</x:v>
      </x:c>
      <x:c r="B106" s="32"/>
      <x:c r="C106" s="32"/>
      <x:c r="D106" s="32"/>
      <x:c r="E106" s="52" t="n">
        <x:v>3</x:v>
      </x:c>
      <x:c r="F106" s="32"/>
      <x:c r="G106" s="32"/>
      <x:c r="H106" s="33"/>
    </x:row>
    <x:row r="107">
      <x:c r="A107" s="46" t="n">
        <x:v>4</x:v>
      </x:c>
      <x:c r="B107" s="32"/>
      <x:c r="C107" s="32"/>
      <x:c r="D107" s="32"/>
      <x:c r="E107" s="52" t="n">
        <x:v>4</x:v>
      </x:c>
      <x:c r="F107" s="32"/>
      <x:c r="G107" s="32"/>
      <x:c r="H107" s="33"/>
    </x:row>
    <x:row r="108">
      <x:c r="A108" s="46" t="n">
        <x:v>5</x:v>
      </x:c>
      <x:c r="B108" s="32"/>
      <x:c r="C108" s="32"/>
      <x:c r="D108" s="32"/>
      <x:c r="E108" s="52" t="n">
        <x:v>5</x:v>
      </x:c>
      <x:c r="F108" s="32"/>
      <x:c r="G108" s="32"/>
      <x:c r="H108" s="33"/>
    </x:row>
    <x:row r="109">
      <x:c r="A109" s="46" t="n">
        <x:v>6</x:v>
      </x:c>
      <x:c r="B109" s="32"/>
      <x:c r="C109" s="32"/>
      <x:c r="D109" s="32"/>
      <x:c r="E109" s="52" t="n">
        <x:v>6</x:v>
      </x:c>
      <x:c r="F109" s="32"/>
      <x:c r="G109" s="32"/>
      <x:c r="H109" s="33"/>
    </x:row>
    <x:row r="110">
      <x:c r="A110" s="46" t="n">
        <x:v>7</x:v>
      </x:c>
      <x:c r="B110" s="32"/>
      <x:c r="C110" s="32"/>
      <x:c r="D110" s="32"/>
      <x:c r="E110" s="52" t="n">
        <x:v>7</x:v>
      </x:c>
      <x:c r="F110" s="32"/>
      <x:c r="G110" s="32"/>
      <x:c r="H110" s="33"/>
    </x:row>
    <x:row r="111">
      <x:c r="A111" s="47" t="n">
        <x:v>8</x:v>
      </x:c>
      <x:c r="B111" s="35"/>
      <x:c r="C111" s="35"/>
      <x:c r="D111" s="35"/>
      <x:c r="E111" s="53" t="n">
        <x:v>8</x:v>
      </x:c>
      <x:c r="F111" s="35"/>
      <x:c r="G111" s="35"/>
      <x:c r="H111" s="36"/>
    </x:row>
    <x:row r="112">
      <x:c r="A112" s="57" t="str">
        <x:v>MATCH HIGHLIGHTS</x:v>
      </x:c>
      <x:c r="B112" s="57"/>
    </x:row>
    <x:row r="113">
      <x:c r="A113" s="60" t="str">
        <x:v>Exact URL</x:v>
      </x:c>
      <x:c r="B113" s="64" t="str">
        <x:v>Same business/domain</x:v>
      </x:c>
    </x:row>
    <x:row r="114">
      <x:c r="A114" s="8" t="str">
        <x:v>Overlap Signal</x:v>
      </x:c>
      <x:c r="D114" s="72" t="str">
        <x:v>FAST RULE
• 7–8 same URLs = strong overlap
• 3–6 same URLs = gray zone; discuss
• 0–2 same URLs = likely different intent
Use 5–8 organic results. Ignore ads, map packs, and duplicate sitelinks.</x:v>
      </x:c>
      <x:c r="E114" s="72"/>
      <x:c r="F114" s="72"/>
      <x:c r="G114" s="72"/>
      <x:c r="H114" s="72"/>
    </x:row>
    <x:row r="115">
      <x:c r="A115" s="8" t="str">
        <x:v>Same exact URL count</x:v>
      </x:c>
      <x:c r="B115" t="n">
        <x:f>SUMPRODUCT(--(B104:B111&lt;&gt;""),--(COUNTIF(F104:F111,B104:B111)&gt;0))</x:f>
        <x:v>0</x:v>
      </x:c>
      <x:c r="D115" s="72"/>
      <x:c r="E115" s="72"/>
      <x:c r="F115" s="72"/>
      <x:c r="G115" s="72"/>
      <x:c r="H115" s="72"/>
    </x:row>
    <x:row r="116">
      <x:c r="A116" s="8" t="str">
        <x:v>Same business/domain count</x:v>
      </x:c>
      <x:c r="B116" t="n">
        <x:f>SUMPRODUCT(--(C104:C111&lt;&gt;""),--(COUNTIF(G104:G111,C104:C111)&gt;0))</x:f>
        <x:v>0</x:v>
      </x:c>
      <x:c r="D116" s="72"/>
      <x:c r="E116" s="72"/>
      <x:c r="F116" s="72"/>
      <x:c r="G116" s="72"/>
      <x:c r="H116" s="72"/>
    </x:row>
    <x:row r="117">
      <x:c r="A117" s="8" t="str">
        <x:v>Same page-type count</x:v>
      </x:c>
      <x:c r="B117" t="n">
        <x:f>SUMPRODUCT(--(D104:D111&lt;&gt;""),--(COUNTIF(H104:H111,D104:D111)&gt;0))</x:f>
        <x:v>0</x:v>
      </x:c>
      <x:c r="D117" s="72"/>
      <x:c r="E117" s="72"/>
      <x:c r="F117" s="72"/>
      <x:c r="G117" s="72"/>
      <x:c r="H117" s="72"/>
    </x:row>
    <x:row r="118">
      <x:c r="A118" s="8" t="str">
        <x:v>Quick interpretation</x:v>
      </x:c>
      <x:c r="B118" s="67" t="str">
        <x:f>IF(B115&gt;=7,"Strong overlap: very likely the same search intent.",IF(B115&gt;=3,"GRAY ZONE: 3–6 shared URLs. Review page types, domains, and client priorities.",IF(B116&gt;=4,"Low exact overlap, but many of the same businesses rank with different pages.","Low overlap: likely a meaningfully different intent.")))</x:f>
        <x:v>Low overlap: likely a meaningfully different intent.</x:v>
      </x:c>
      <x:c r="C118" s="67"/>
      <x:c r="D118" s="67"/>
      <x:c r="E118" s="67"/>
      <x:c r="F118" s="67"/>
      <x:c r="G118" s="67"/>
      <x:c r="H118" s="67"/>
    </x:row>
    <x:row r="119">
      <x:c r="A119" s="8" t="str">
        <x:v>Recommended action</x:v>
      </x:c>
      <x:c r="B119" s="67" t="str">
        <x:f>IF(B115&gt;=7,"Keep these keywords in the same cluster/page.",IF(B115&gt;=3,"Discuss on the client call before deciding whether to split.",IF(B116&gt;=4,"Inspect which pages each business uses before splitting.","Consider separate clusters/pages if page types also differ.")))</x:f>
        <x:v>Consider separate clusters/pages if page types also differ.</x:v>
      </x:c>
      <x:c r="C119" s="67"/>
      <x:c r="D119" s="67"/>
      <x:c r="E119" s="67"/>
      <x:c r="F119" s="67"/>
      <x:c r="G119" s="67"/>
      <x:c r="H119" s="67"/>
    </x:row>
    <x:row r="120" ht="8" customHeight="1"/>
    <x:row r="121" ht="26" customHeight="1">
      <x:c r="A121" s="4" t="str">
        <x:v>SERP Overlap Quick Check — Comparison 06</x:v>
      </x:c>
      <x:c r="B121" s="4"/>
      <x:c r="C121" s="4"/>
      <x:c r="D121" s="4"/>
      <x:c r="E121" s="4"/>
      <x:c r="F121" s="4"/>
      <x:c r="G121" s="4"/>
      <x:c r="H121" s="4"/>
    </x:row>
    <x:row r="122">
      <x:c r="A122" s="8" t="str">
        <x:v>Cluster / Topic</x:v>
      </x:c>
      <x:c r="B122" s="14"/>
      <x:c r="C122" s="14"/>
      <x:c r="D122" s="14"/>
      <x:c r="E122" s="14"/>
      <x:c r="F122" s="14"/>
      <x:c r="G122" s="14"/>
      <x:c r="H122" s="14"/>
    </x:row>
    <x:row r="123">
      <x:c r="A123" s="8" t="str">
        <x:v>Keyword A</x:v>
      </x:c>
      <x:c r="B123" s="14"/>
      <x:c r="C123" s="14"/>
      <x:c r="D123" s="14"/>
      <x:c r="E123" s="14"/>
      <x:c r="F123" s="14"/>
      <x:c r="G123" s="14"/>
      <x:c r="H123" s="14"/>
    </x:row>
    <x:row r="124">
      <x:c r="A124" s="8" t="str">
        <x:v>Keyword B</x:v>
      </x:c>
      <x:c r="B124" s="14"/>
      <x:c r="C124" s="14"/>
      <x:c r="D124" s="14"/>
      <x:c r="E124" s="14"/>
      <x:c r="F124" s="14"/>
      <x:c r="G124" s="14"/>
      <x:c r="H124" s="14"/>
    </x:row>
    <x:row r="125">
      <x:c r="A125" s="8" t="str">
        <x:v>Decision</x:v>
      </x:c>
      <x:c r="B125" s="15" t="str">
        <x:f>B143</x:f>
        <x:v>Consider separate clusters/pages if page types also differ.</x:v>
      </x:c>
      <x:c r="C125" s="15"/>
      <x:c r="D125" s="15"/>
      <x:c r="E125" s="15"/>
      <x:c r="F125" s="15"/>
      <x:c r="G125" s="15"/>
      <x:c r="H125" s="15"/>
    </x:row>
    <x:row r="127">
      <x:c r="A127" s="22" t="str">
        <x:v>Rank</x:v>
      </x:c>
      <x:c r="B127" s="22" t="str">
        <x:v>Keyword A URL</x:v>
      </x:c>
      <x:c r="C127" s="22" t="str">
        <x:v>Keyword A Business/Domain</x:v>
      </x:c>
      <x:c r="D127" s="22" t="str">
        <x:v>Page Type</x:v>
      </x:c>
      <x:c r="E127" s="22" t="str">
        <x:v>Rank</x:v>
      </x:c>
      <x:c r="F127" s="22" t="str">
        <x:v>Keyword B URL</x:v>
      </x:c>
      <x:c r="G127" s="22" t="str">
        <x:v>Keyword B Business/Domain</x:v>
      </x:c>
      <x:c r="H127" s="22" t="str">
        <x:v>Page Type</x:v>
      </x:c>
    </x:row>
    <x:row r="128">
      <x:c r="A128" s="45" t="n">
        <x:v>1</x:v>
      </x:c>
      <x:c r="B128" s="29"/>
      <x:c r="C128" s="29"/>
      <x:c r="D128" s="29"/>
      <x:c r="E128" s="51" t="n">
        <x:v>1</x:v>
      </x:c>
      <x:c r="F128" s="29"/>
      <x:c r="G128" s="29"/>
      <x:c r="H128" s="30"/>
    </x:row>
    <x:row r="129">
      <x:c r="A129" s="46" t="n">
        <x:v>2</x:v>
      </x:c>
      <x:c r="B129" s="32"/>
      <x:c r="C129" s="32"/>
      <x:c r="D129" s="32"/>
      <x:c r="E129" s="52" t="n">
        <x:v>2</x:v>
      </x:c>
      <x:c r="F129" s="32"/>
      <x:c r="G129" s="32"/>
      <x:c r="H129" s="33"/>
    </x:row>
    <x:row r="130">
      <x:c r="A130" s="46" t="n">
        <x:v>3</x:v>
      </x:c>
      <x:c r="B130" s="32"/>
      <x:c r="C130" s="32"/>
      <x:c r="D130" s="32"/>
      <x:c r="E130" s="52" t="n">
        <x:v>3</x:v>
      </x:c>
      <x:c r="F130" s="32"/>
      <x:c r="G130" s="32"/>
      <x:c r="H130" s="33"/>
    </x:row>
    <x:row r="131">
      <x:c r="A131" s="46" t="n">
        <x:v>4</x:v>
      </x:c>
      <x:c r="B131" s="32"/>
      <x:c r="C131" s="32"/>
      <x:c r="D131" s="32"/>
      <x:c r="E131" s="52" t="n">
        <x:v>4</x:v>
      </x:c>
      <x:c r="F131" s="32"/>
      <x:c r="G131" s="32"/>
      <x:c r="H131" s="33"/>
    </x:row>
    <x:row r="132">
      <x:c r="A132" s="46" t="n">
        <x:v>5</x:v>
      </x:c>
      <x:c r="B132" s="32"/>
      <x:c r="C132" s="32"/>
      <x:c r="D132" s="32"/>
      <x:c r="E132" s="52" t="n">
        <x:v>5</x:v>
      </x:c>
      <x:c r="F132" s="32"/>
      <x:c r="G132" s="32"/>
      <x:c r="H132" s="33"/>
    </x:row>
    <x:row r="133">
      <x:c r="A133" s="46" t="n">
        <x:v>6</x:v>
      </x:c>
      <x:c r="B133" s="32"/>
      <x:c r="C133" s="32"/>
      <x:c r="D133" s="32"/>
      <x:c r="E133" s="52" t="n">
        <x:v>6</x:v>
      </x:c>
      <x:c r="F133" s="32"/>
      <x:c r="G133" s="32"/>
      <x:c r="H133" s="33"/>
    </x:row>
    <x:row r="134">
      <x:c r="A134" s="46" t="n">
        <x:v>7</x:v>
      </x:c>
      <x:c r="B134" s="32"/>
      <x:c r="C134" s="32"/>
      <x:c r="D134" s="32"/>
      <x:c r="E134" s="52" t="n">
        <x:v>7</x:v>
      </x:c>
      <x:c r="F134" s="32"/>
      <x:c r="G134" s="32"/>
      <x:c r="H134" s="33"/>
    </x:row>
    <x:row r="135">
      <x:c r="A135" s="47" t="n">
        <x:v>8</x:v>
      </x:c>
      <x:c r="B135" s="35"/>
      <x:c r="C135" s="35"/>
      <x:c r="D135" s="35"/>
      <x:c r="E135" s="53" t="n">
        <x:v>8</x:v>
      </x:c>
      <x:c r="F135" s="35"/>
      <x:c r="G135" s="35"/>
      <x:c r="H135" s="36"/>
    </x:row>
    <x:row r="136">
      <x:c r="A136" s="57" t="str">
        <x:v>MATCH HIGHLIGHTS</x:v>
      </x:c>
      <x:c r="B136" s="57"/>
    </x:row>
    <x:row r="137">
      <x:c r="A137" s="60" t="str">
        <x:v>Exact URL</x:v>
      </x:c>
      <x:c r="B137" s="64" t="str">
        <x:v>Same business/domain</x:v>
      </x:c>
    </x:row>
    <x:row r="138">
      <x:c r="A138" s="8" t="str">
        <x:v>Overlap Signal</x:v>
      </x:c>
      <x:c r="D138" s="72" t="str">
        <x:v>FAST RULE
• 7–8 same URLs = strong overlap
• 3–6 same URLs = gray zone; discuss
• 0–2 same URLs = likely different intent
Use 5–8 organic results. Ignore ads, map packs, and duplicate sitelinks.</x:v>
      </x:c>
      <x:c r="E138" s="72"/>
      <x:c r="F138" s="72"/>
      <x:c r="G138" s="72"/>
      <x:c r="H138" s="72"/>
    </x:row>
    <x:row r="139">
      <x:c r="A139" s="8" t="str">
        <x:v>Same exact URL count</x:v>
      </x:c>
      <x:c r="B139" t="n">
        <x:f>SUMPRODUCT(--(B128:B135&lt;&gt;""),--(COUNTIF(F128:F135,B128:B135)&gt;0))</x:f>
        <x:v>0</x:v>
      </x:c>
      <x:c r="D139" s="72"/>
      <x:c r="E139" s="72"/>
      <x:c r="F139" s="72"/>
      <x:c r="G139" s="72"/>
      <x:c r="H139" s="72"/>
    </x:row>
    <x:row r="140">
      <x:c r="A140" s="8" t="str">
        <x:v>Same business/domain count</x:v>
      </x:c>
      <x:c r="B140" t="n">
        <x:f>SUMPRODUCT(--(C128:C135&lt;&gt;""),--(COUNTIF(G128:G135,C128:C135)&gt;0))</x:f>
        <x:v>0</x:v>
      </x:c>
      <x:c r="D140" s="72"/>
      <x:c r="E140" s="72"/>
      <x:c r="F140" s="72"/>
      <x:c r="G140" s="72"/>
      <x:c r="H140" s="72"/>
    </x:row>
    <x:row r="141">
      <x:c r="A141" s="8" t="str">
        <x:v>Same page-type count</x:v>
      </x:c>
      <x:c r="B141" t="n">
        <x:f>SUMPRODUCT(--(D128:D135&lt;&gt;""),--(COUNTIF(H128:H135,D128:D135)&gt;0))</x:f>
        <x:v>0</x:v>
      </x:c>
      <x:c r="D141" s="72"/>
      <x:c r="E141" s="72"/>
      <x:c r="F141" s="72"/>
      <x:c r="G141" s="72"/>
      <x:c r="H141" s="72"/>
    </x:row>
    <x:row r="142">
      <x:c r="A142" s="8" t="str">
        <x:v>Quick interpretation</x:v>
      </x:c>
      <x:c r="B142" s="67" t="str">
        <x:f>IF(B139&gt;=7,"Strong overlap: very likely the same search intent.",IF(B139&gt;=3,"GRAY ZONE: 3–6 shared URLs. Review page types, domains, and client priorities.",IF(B140&gt;=4,"Low exact overlap, but many of the same businesses rank with different pages.","Low overlap: likely a meaningfully different intent.")))</x:f>
        <x:v>Low overlap: likely a meaningfully different intent.</x:v>
      </x:c>
      <x:c r="C142" s="67"/>
      <x:c r="D142" s="67"/>
      <x:c r="E142" s="67"/>
      <x:c r="F142" s="67"/>
      <x:c r="G142" s="67"/>
      <x:c r="H142" s="67"/>
    </x:row>
    <x:row r="143">
      <x:c r="A143" s="8" t="str">
        <x:v>Recommended action</x:v>
      </x:c>
      <x:c r="B143" s="67" t="str">
        <x:f>IF(B139&gt;=7,"Keep these keywords in the same cluster/page.",IF(B139&gt;=3,"Discuss on the client call before deciding whether to split.",IF(B140&gt;=4,"Inspect which pages each business uses before splitting.","Consider separate clusters/pages if page types also differ.")))</x:f>
        <x:v>Consider separate clusters/pages if page types also differ.</x:v>
      </x:c>
      <x:c r="C143" s="67"/>
      <x:c r="D143" s="67"/>
      <x:c r="E143" s="67"/>
      <x:c r="F143" s="67"/>
      <x:c r="G143" s="67"/>
      <x:c r="H143" s="67"/>
    </x:row>
    <x:row r="144" ht="8" customHeight="1"/>
    <x:row r="145" ht="26" customHeight="1">
      <x:c r="A145" s="4" t="str">
        <x:v>SERP Overlap Quick Check — Comparison 07</x:v>
      </x:c>
      <x:c r="B145" s="4"/>
      <x:c r="C145" s="4"/>
      <x:c r="D145" s="4"/>
      <x:c r="E145" s="4"/>
      <x:c r="F145" s="4"/>
      <x:c r="G145" s="4"/>
      <x:c r="H145" s="4"/>
    </x:row>
    <x:row r="146">
      <x:c r="A146" s="8" t="str">
        <x:v>Cluster / Topic</x:v>
      </x:c>
      <x:c r="B146" s="14"/>
      <x:c r="C146" s="14"/>
      <x:c r="D146" s="14"/>
      <x:c r="E146" s="14"/>
      <x:c r="F146" s="14"/>
      <x:c r="G146" s="14"/>
      <x:c r="H146" s="14"/>
    </x:row>
    <x:row r="147">
      <x:c r="A147" s="8" t="str">
        <x:v>Keyword A</x:v>
      </x:c>
      <x:c r="B147" s="14"/>
      <x:c r="C147" s="14"/>
      <x:c r="D147" s="14"/>
      <x:c r="E147" s="14"/>
      <x:c r="F147" s="14"/>
      <x:c r="G147" s="14"/>
      <x:c r="H147" s="14"/>
    </x:row>
    <x:row r="148">
      <x:c r="A148" s="8" t="str">
        <x:v>Keyword B</x:v>
      </x:c>
      <x:c r="B148" s="14"/>
      <x:c r="C148" s="14"/>
      <x:c r="D148" s="14"/>
      <x:c r="E148" s="14"/>
      <x:c r="F148" s="14"/>
      <x:c r="G148" s="14"/>
      <x:c r="H148" s="14"/>
    </x:row>
    <x:row r="149">
      <x:c r="A149" s="8" t="str">
        <x:v>Decision</x:v>
      </x:c>
      <x:c r="B149" s="15" t="str">
        <x:f>B167</x:f>
        <x:v>Consider separate clusters/pages if page types also differ.</x:v>
      </x:c>
      <x:c r="C149" s="15"/>
      <x:c r="D149" s="15"/>
      <x:c r="E149" s="15"/>
      <x:c r="F149" s="15"/>
      <x:c r="G149" s="15"/>
      <x:c r="H149" s="15"/>
    </x:row>
    <x:row r="151">
      <x:c r="A151" s="22" t="str">
        <x:v>Rank</x:v>
      </x:c>
      <x:c r="B151" s="22" t="str">
        <x:v>Keyword A URL</x:v>
      </x:c>
      <x:c r="C151" s="22" t="str">
        <x:v>Keyword A Business/Domain</x:v>
      </x:c>
      <x:c r="D151" s="22" t="str">
        <x:v>Page Type</x:v>
      </x:c>
      <x:c r="E151" s="22" t="str">
        <x:v>Rank</x:v>
      </x:c>
      <x:c r="F151" s="22" t="str">
        <x:v>Keyword B URL</x:v>
      </x:c>
      <x:c r="G151" s="22" t="str">
        <x:v>Keyword B Business/Domain</x:v>
      </x:c>
      <x:c r="H151" s="22" t="str">
        <x:v>Page Type</x:v>
      </x:c>
    </x:row>
    <x:row r="152">
      <x:c r="A152" s="45" t="n">
        <x:v>1</x:v>
      </x:c>
      <x:c r="B152" s="29"/>
      <x:c r="C152" s="29"/>
      <x:c r="D152" s="29"/>
      <x:c r="E152" s="51" t="n">
        <x:v>1</x:v>
      </x:c>
      <x:c r="F152" s="29"/>
      <x:c r="G152" s="29"/>
      <x:c r="H152" s="30"/>
    </x:row>
    <x:row r="153">
      <x:c r="A153" s="46" t="n">
        <x:v>2</x:v>
      </x:c>
      <x:c r="B153" s="32"/>
      <x:c r="C153" s="32"/>
      <x:c r="D153" s="32"/>
      <x:c r="E153" s="52" t="n">
        <x:v>2</x:v>
      </x:c>
      <x:c r="F153" s="32"/>
      <x:c r="G153" s="32"/>
      <x:c r="H153" s="33"/>
    </x:row>
    <x:row r="154">
      <x:c r="A154" s="46" t="n">
        <x:v>3</x:v>
      </x:c>
      <x:c r="B154" s="32"/>
      <x:c r="C154" s="32"/>
      <x:c r="D154" s="32"/>
      <x:c r="E154" s="52" t="n">
        <x:v>3</x:v>
      </x:c>
      <x:c r="F154" s="32"/>
      <x:c r="G154" s="32"/>
      <x:c r="H154" s="33"/>
    </x:row>
    <x:row r="155">
      <x:c r="A155" s="46" t="n">
        <x:v>4</x:v>
      </x:c>
      <x:c r="B155" s="32"/>
      <x:c r="C155" s="32"/>
      <x:c r="D155" s="32"/>
      <x:c r="E155" s="52" t="n">
        <x:v>4</x:v>
      </x:c>
      <x:c r="F155" s="32"/>
      <x:c r="G155" s="32"/>
      <x:c r="H155" s="33"/>
    </x:row>
    <x:row r="156">
      <x:c r="A156" s="46" t="n">
        <x:v>5</x:v>
      </x:c>
      <x:c r="B156" s="32"/>
      <x:c r="C156" s="32"/>
      <x:c r="D156" s="32"/>
      <x:c r="E156" s="52" t="n">
        <x:v>5</x:v>
      </x:c>
      <x:c r="F156" s="32"/>
      <x:c r="G156" s="32"/>
      <x:c r="H156" s="33"/>
    </x:row>
    <x:row r="157">
      <x:c r="A157" s="46" t="n">
        <x:v>6</x:v>
      </x:c>
      <x:c r="B157" s="32"/>
      <x:c r="C157" s="32"/>
      <x:c r="D157" s="32"/>
      <x:c r="E157" s="52" t="n">
        <x:v>6</x:v>
      </x:c>
      <x:c r="F157" s="32"/>
      <x:c r="G157" s="32"/>
      <x:c r="H157" s="33"/>
    </x:row>
    <x:row r="158">
      <x:c r="A158" s="46" t="n">
        <x:v>7</x:v>
      </x:c>
      <x:c r="B158" s="32"/>
      <x:c r="C158" s="32"/>
      <x:c r="D158" s="32"/>
      <x:c r="E158" s="52" t="n">
        <x:v>7</x:v>
      </x:c>
      <x:c r="F158" s="32"/>
      <x:c r="G158" s="32"/>
      <x:c r="H158" s="33"/>
    </x:row>
    <x:row r="159">
      <x:c r="A159" s="47" t="n">
        <x:v>8</x:v>
      </x:c>
      <x:c r="B159" s="35"/>
      <x:c r="C159" s="35"/>
      <x:c r="D159" s="35"/>
      <x:c r="E159" s="53" t="n">
        <x:v>8</x:v>
      </x:c>
      <x:c r="F159" s="35"/>
      <x:c r="G159" s="35"/>
      <x:c r="H159" s="36"/>
    </x:row>
    <x:row r="160">
      <x:c r="A160" s="57" t="str">
        <x:v>MATCH HIGHLIGHTS</x:v>
      </x:c>
      <x:c r="B160" s="57"/>
    </x:row>
    <x:row r="161">
      <x:c r="A161" s="60" t="str">
        <x:v>Exact URL</x:v>
      </x:c>
      <x:c r="B161" s="64" t="str">
        <x:v>Same business/domain</x:v>
      </x:c>
    </x:row>
    <x:row r="162">
      <x:c r="A162" s="8" t="str">
        <x:v>Overlap Signal</x:v>
      </x:c>
      <x:c r="D162" s="72" t="str">
        <x:v>FAST RULE
• 7–8 same URLs = strong overlap
• 3–6 same URLs = gray zone; discuss
• 0–2 same URLs = likely different intent
Use 5–8 organic results. Ignore ads, map packs, and duplicate sitelinks.</x:v>
      </x:c>
      <x:c r="E162" s="72"/>
      <x:c r="F162" s="72"/>
      <x:c r="G162" s="72"/>
      <x:c r="H162" s="72"/>
    </x:row>
    <x:row r="163">
      <x:c r="A163" s="8" t="str">
        <x:v>Same exact URL count</x:v>
      </x:c>
      <x:c r="B163" t="n">
        <x:f>SUMPRODUCT(--(B152:B159&lt;&gt;""),--(COUNTIF(F152:F159,B152:B159)&gt;0))</x:f>
        <x:v>0</x:v>
      </x:c>
      <x:c r="D163" s="72"/>
      <x:c r="E163" s="72"/>
      <x:c r="F163" s="72"/>
      <x:c r="G163" s="72"/>
      <x:c r="H163" s="72"/>
    </x:row>
    <x:row r="164">
      <x:c r="A164" s="8" t="str">
        <x:v>Same business/domain count</x:v>
      </x:c>
      <x:c r="B164" t="n">
        <x:f>SUMPRODUCT(--(C152:C159&lt;&gt;""),--(COUNTIF(G152:G159,C152:C159)&gt;0))</x:f>
        <x:v>0</x:v>
      </x:c>
      <x:c r="D164" s="72"/>
      <x:c r="E164" s="72"/>
      <x:c r="F164" s="72"/>
      <x:c r="G164" s="72"/>
      <x:c r="H164" s="72"/>
    </x:row>
    <x:row r="165">
      <x:c r="A165" s="8" t="str">
        <x:v>Same page-type count</x:v>
      </x:c>
      <x:c r="B165" t="n">
        <x:f>SUMPRODUCT(--(D152:D159&lt;&gt;""),--(COUNTIF(H152:H159,D152:D159)&gt;0))</x:f>
        <x:v>0</x:v>
      </x:c>
      <x:c r="D165" s="72"/>
      <x:c r="E165" s="72"/>
      <x:c r="F165" s="72"/>
      <x:c r="G165" s="72"/>
      <x:c r="H165" s="72"/>
    </x:row>
    <x:row r="166">
      <x:c r="A166" s="8" t="str">
        <x:v>Quick interpretation</x:v>
      </x:c>
      <x:c r="B166" s="67" t="str">
        <x:f>IF(B163&gt;=7,"Strong overlap: very likely the same search intent.",IF(B163&gt;=3,"GRAY ZONE: 3–6 shared URLs. Review page types, domains, and client priorities.",IF(B164&gt;=4,"Low exact overlap, but many of the same businesses rank with different pages.","Low overlap: likely a meaningfully different intent.")))</x:f>
        <x:v>Low overlap: likely a meaningfully different intent.</x:v>
      </x:c>
      <x:c r="C166" s="67"/>
      <x:c r="D166" s="67"/>
      <x:c r="E166" s="67"/>
      <x:c r="F166" s="67"/>
      <x:c r="G166" s="67"/>
      <x:c r="H166" s="67"/>
    </x:row>
    <x:row r="167">
      <x:c r="A167" s="8" t="str">
        <x:v>Recommended action</x:v>
      </x:c>
      <x:c r="B167" s="67" t="str">
        <x:f>IF(B163&gt;=7,"Keep these keywords in the same cluster/page.",IF(B163&gt;=3,"Discuss on the client call before deciding whether to split.",IF(B164&gt;=4,"Inspect which pages each business uses before splitting.","Consider separate clusters/pages if page types also differ.")))</x:f>
        <x:v>Consider separate clusters/pages if page types also differ.</x:v>
      </x:c>
      <x:c r="C167" s="67"/>
      <x:c r="D167" s="67"/>
      <x:c r="E167" s="67"/>
      <x:c r="F167" s="67"/>
      <x:c r="G167" s="67"/>
      <x:c r="H167" s="67"/>
    </x:row>
    <x:row r="168" ht="8" customHeight="1"/>
    <x:row r="169" ht="26" customHeight="1">
      <x:c r="A169" s="4" t="str">
        <x:v>SERP Overlap Quick Check — Comparison 08</x:v>
      </x:c>
      <x:c r="B169" s="4"/>
      <x:c r="C169" s="4"/>
      <x:c r="D169" s="4"/>
      <x:c r="E169" s="4"/>
      <x:c r="F169" s="4"/>
      <x:c r="G169" s="4"/>
      <x:c r="H169" s="4"/>
    </x:row>
    <x:row r="170">
      <x:c r="A170" s="8" t="str">
        <x:v>Cluster / Topic</x:v>
      </x:c>
      <x:c r="B170" s="14"/>
      <x:c r="C170" s="14"/>
      <x:c r="D170" s="14"/>
      <x:c r="E170" s="14"/>
      <x:c r="F170" s="14"/>
      <x:c r="G170" s="14"/>
      <x:c r="H170" s="14"/>
    </x:row>
    <x:row r="171">
      <x:c r="A171" s="8" t="str">
        <x:v>Keyword A</x:v>
      </x:c>
      <x:c r="B171" s="14"/>
      <x:c r="C171" s="14"/>
      <x:c r="D171" s="14"/>
      <x:c r="E171" s="14"/>
      <x:c r="F171" s="14"/>
      <x:c r="G171" s="14"/>
      <x:c r="H171" s="14"/>
    </x:row>
    <x:row r="172">
      <x:c r="A172" s="8" t="str">
        <x:v>Keyword B</x:v>
      </x:c>
      <x:c r="B172" s="14"/>
      <x:c r="C172" s="14"/>
      <x:c r="D172" s="14"/>
      <x:c r="E172" s="14"/>
      <x:c r="F172" s="14"/>
      <x:c r="G172" s="14"/>
      <x:c r="H172" s="14"/>
    </x:row>
    <x:row r="173">
      <x:c r="A173" s="8" t="str">
        <x:v>Decision</x:v>
      </x:c>
      <x:c r="B173" s="15" t="str">
        <x:f>B191</x:f>
        <x:v>Consider separate clusters/pages if page types also differ.</x:v>
      </x:c>
      <x:c r="C173" s="15"/>
      <x:c r="D173" s="15"/>
      <x:c r="E173" s="15"/>
      <x:c r="F173" s="15"/>
      <x:c r="G173" s="15"/>
      <x:c r="H173" s="15"/>
    </x:row>
    <x:row r="175">
      <x:c r="A175" s="22" t="str">
        <x:v>Rank</x:v>
      </x:c>
      <x:c r="B175" s="22" t="str">
        <x:v>Keyword A URL</x:v>
      </x:c>
      <x:c r="C175" s="22" t="str">
        <x:v>Keyword A Business/Domain</x:v>
      </x:c>
      <x:c r="D175" s="22" t="str">
        <x:v>Page Type</x:v>
      </x:c>
      <x:c r="E175" s="22" t="str">
        <x:v>Rank</x:v>
      </x:c>
      <x:c r="F175" s="22" t="str">
        <x:v>Keyword B URL</x:v>
      </x:c>
      <x:c r="G175" s="22" t="str">
        <x:v>Keyword B Business/Domain</x:v>
      </x:c>
      <x:c r="H175" s="22" t="str">
        <x:v>Page Type</x:v>
      </x:c>
    </x:row>
    <x:row r="176">
      <x:c r="A176" s="45" t="n">
        <x:v>1</x:v>
      </x:c>
      <x:c r="B176" s="29"/>
      <x:c r="C176" s="29"/>
      <x:c r="D176" s="29"/>
      <x:c r="E176" s="51" t="n">
        <x:v>1</x:v>
      </x:c>
      <x:c r="F176" s="29"/>
      <x:c r="G176" s="29"/>
      <x:c r="H176" s="30"/>
    </x:row>
    <x:row r="177">
      <x:c r="A177" s="46" t="n">
        <x:v>2</x:v>
      </x:c>
      <x:c r="B177" s="32"/>
      <x:c r="C177" s="32"/>
      <x:c r="D177" s="32"/>
      <x:c r="E177" s="52" t="n">
        <x:v>2</x:v>
      </x:c>
      <x:c r="F177" s="32"/>
      <x:c r="G177" s="32"/>
      <x:c r="H177" s="33"/>
    </x:row>
    <x:row r="178">
      <x:c r="A178" s="46" t="n">
        <x:v>3</x:v>
      </x:c>
      <x:c r="B178" s="32"/>
      <x:c r="C178" s="32"/>
      <x:c r="D178" s="32"/>
      <x:c r="E178" s="52" t="n">
        <x:v>3</x:v>
      </x:c>
      <x:c r="F178" s="32"/>
      <x:c r="G178" s="32"/>
      <x:c r="H178" s="33"/>
    </x:row>
    <x:row r="179">
      <x:c r="A179" s="46" t="n">
        <x:v>4</x:v>
      </x:c>
      <x:c r="B179" s="32"/>
      <x:c r="C179" s="32"/>
      <x:c r="D179" s="32"/>
      <x:c r="E179" s="52" t="n">
        <x:v>4</x:v>
      </x:c>
      <x:c r="F179" s="32"/>
      <x:c r="G179" s="32"/>
      <x:c r="H179" s="33"/>
    </x:row>
    <x:row r="180">
      <x:c r="A180" s="46" t="n">
        <x:v>5</x:v>
      </x:c>
      <x:c r="B180" s="32"/>
      <x:c r="C180" s="32"/>
      <x:c r="D180" s="32"/>
      <x:c r="E180" s="52" t="n">
        <x:v>5</x:v>
      </x:c>
      <x:c r="F180" s="32"/>
      <x:c r="G180" s="32"/>
      <x:c r="H180" s="33"/>
    </x:row>
    <x:row r="181">
      <x:c r="A181" s="46" t="n">
        <x:v>6</x:v>
      </x:c>
      <x:c r="B181" s="32"/>
      <x:c r="C181" s="32"/>
      <x:c r="D181" s="32"/>
      <x:c r="E181" s="52" t="n">
        <x:v>6</x:v>
      </x:c>
      <x:c r="F181" s="32"/>
      <x:c r="G181" s="32"/>
      <x:c r="H181" s="33"/>
    </x:row>
    <x:row r="182">
      <x:c r="A182" s="46" t="n">
        <x:v>7</x:v>
      </x:c>
      <x:c r="B182" s="32"/>
      <x:c r="C182" s="32"/>
      <x:c r="D182" s="32"/>
      <x:c r="E182" s="52" t="n">
        <x:v>7</x:v>
      </x:c>
      <x:c r="F182" s="32"/>
      <x:c r="G182" s="32"/>
      <x:c r="H182" s="33"/>
    </x:row>
    <x:row r="183">
      <x:c r="A183" s="47" t="n">
        <x:v>8</x:v>
      </x:c>
      <x:c r="B183" s="35"/>
      <x:c r="C183" s="35"/>
      <x:c r="D183" s="35"/>
      <x:c r="E183" s="53" t="n">
        <x:v>8</x:v>
      </x:c>
      <x:c r="F183" s="35"/>
      <x:c r="G183" s="35"/>
      <x:c r="H183" s="36"/>
    </x:row>
    <x:row r="184">
      <x:c r="A184" s="57" t="str">
        <x:v>MATCH HIGHLIGHTS</x:v>
      </x:c>
      <x:c r="B184" s="57"/>
    </x:row>
    <x:row r="185">
      <x:c r="A185" s="60" t="str">
        <x:v>Exact URL</x:v>
      </x:c>
      <x:c r="B185" s="64" t="str">
        <x:v>Same business/domain</x:v>
      </x:c>
    </x:row>
    <x:row r="186">
      <x:c r="A186" s="8" t="str">
        <x:v>Overlap Signal</x:v>
      </x:c>
      <x:c r="D186" s="72" t="str">
        <x:v>FAST RULE
• 7–8 same URLs = strong overlap
• 3–6 same URLs = gray zone; discuss
• 0–2 same URLs = likely different intent
Use 5–8 organic results. Ignore ads, map packs, and duplicate sitelinks.</x:v>
      </x:c>
      <x:c r="E186" s="72"/>
      <x:c r="F186" s="72"/>
      <x:c r="G186" s="72"/>
      <x:c r="H186" s="72"/>
    </x:row>
    <x:row r="187">
      <x:c r="A187" s="8" t="str">
        <x:v>Same exact URL count</x:v>
      </x:c>
      <x:c r="B187" t="n">
        <x:f>SUMPRODUCT(--(B176:B183&lt;&gt;""),--(COUNTIF(F176:F183,B176:B183)&gt;0))</x:f>
        <x:v>0</x:v>
      </x:c>
      <x:c r="D187" s="72"/>
      <x:c r="E187" s="72"/>
      <x:c r="F187" s="72"/>
      <x:c r="G187" s="72"/>
      <x:c r="H187" s="72"/>
    </x:row>
    <x:row r="188">
      <x:c r="A188" s="8" t="str">
        <x:v>Same business/domain count</x:v>
      </x:c>
      <x:c r="B188" t="n">
        <x:f>SUMPRODUCT(--(C176:C183&lt;&gt;""),--(COUNTIF(G176:G183,C176:C183)&gt;0))</x:f>
        <x:v>0</x:v>
      </x:c>
      <x:c r="D188" s="72"/>
      <x:c r="E188" s="72"/>
      <x:c r="F188" s="72"/>
      <x:c r="G188" s="72"/>
      <x:c r="H188" s="72"/>
    </x:row>
    <x:row r="189">
      <x:c r="A189" s="8" t="str">
        <x:v>Same page-type count</x:v>
      </x:c>
      <x:c r="B189" t="n">
        <x:f>SUMPRODUCT(--(D176:D183&lt;&gt;""),--(COUNTIF(H176:H183,D176:D183)&gt;0))</x:f>
        <x:v>0</x:v>
      </x:c>
      <x:c r="D189" s="72"/>
      <x:c r="E189" s="72"/>
      <x:c r="F189" s="72"/>
      <x:c r="G189" s="72"/>
      <x:c r="H189" s="72"/>
    </x:row>
    <x:row r="190">
      <x:c r="A190" s="8" t="str">
        <x:v>Quick interpretation</x:v>
      </x:c>
      <x:c r="B190" s="67" t="str">
        <x:f>IF(B187&gt;=7,"Strong overlap: very likely the same search intent.",IF(B187&gt;=3,"GRAY ZONE: 3–6 shared URLs. Review page types, domains, and client priorities.",IF(B188&gt;=4,"Low exact overlap, but many of the same businesses rank with different pages.","Low overlap: likely a meaningfully different intent.")))</x:f>
        <x:v>Low overlap: likely a meaningfully different intent.</x:v>
      </x:c>
      <x:c r="C190" s="67"/>
      <x:c r="D190" s="67"/>
      <x:c r="E190" s="67"/>
      <x:c r="F190" s="67"/>
      <x:c r="G190" s="67"/>
      <x:c r="H190" s="67"/>
    </x:row>
    <x:row r="191">
      <x:c r="A191" s="8" t="str">
        <x:v>Recommended action</x:v>
      </x:c>
      <x:c r="B191" s="67" t="str">
        <x:f>IF(B187&gt;=7,"Keep these keywords in the same cluster/page.",IF(B187&gt;=3,"Discuss on the client call before deciding whether to split.",IF(B188&gt;=4,"Inspect which pages each business uses before splitting.","Consider separate clusters/pages if page types also differ.")))</x:f>
        <x:v>Consider separate clusters/pages if page types also differ.</x:v>
      </x:c>
      <x:c r="C191" s="67"/>
      <x:c r="D191" s="67"/>
      <x:c r="E191" s="67"/>
      <x:c r="F191" s="67"/>
      <x:c r="G191" s="67"/>
      <x:c r="H191" s="67"/>
    </x:row>
    <x:row r="192" ht="8" customHeight="1"/>
    <x:row r="193" ht="26" customHeight="1">
      <x:c r="A193" s="4" t="str">
        <x:v>SERP Overlap Quick Check — Comparison 09</x:v>
      </x:c>
      <x:c r="B193" s="4"/>
      <x:c r="C193" s="4"/>
      <x:c r="D193" s="4"/>
      <x:c r="E193" s="4"/>
      <x:c r="F193" s="4"/>
      <x:c r="G193" s="4"/>
      <x:c r="H193" s="4"/>
    </x:row>
    <x:row r="194">
      <x:c r="A194" s="8" t="str">
        <x:v>Cluster / Topic</x:v>
      </x:c>
      <x:c r="B194" s="14"/>
      <x:c r="C194" s="14"/>
      <x:c r="D194" s="14"/>
      <x:c r="E194" s="14"/>
      <x:c r="F194" s="14"/>
      <x:c r="G194" s="14"/>
      <x:c r="H194" s="14"/>
    </x:row>
    <x:row r="195">
      <x:c r="A195" s="8" t="str">
        <x:v>Keyword A</x:v>
      </x:c>
      <x:c r="B195" s="14"/>
      <x:c r="C195" s="14"/>
      <x:c r="D195" s="14"/>
      <x:c r="E195" s="14"/>
      <x:c r="F195" s="14"/>
      <x:c r="G195" s="14"/>
      <x:c r="H195" s="14"/>
    </x:row>
    <x:row r="196">
      <x:c r="A196" s="8" t="str">
        <x:v>Keyword B</x:v>
      </x:c>
      <x:c r="B196" s="14"/>
      <x:c r="C196" s="14"/>
      <x:c r="D196" s="14"/>
      <x:c r="E196" s="14"/>
      <x:c r="F196" s="14"/>
      <x:c r="G196" s="14"/>
      <x:c r="H196" s="14"/>
    </x:row>
    <x:row r="197">
      <x:c r="A197" s="8" t="str">
        <x:v>Decision</x:v>
      </x:c>
      <x:c r="B197" s="15" t="str">
        <x:f>B215</x:f>
        <x:v>Consider separate clusters/pages if page types also differ.</x:v>
      </x:c>
      <x:c r="C197" s="15"/>
      <x:c r="D197" s="15"/>
      <x:c r="E197" s="15"/>
      <x:c r="F197" s="15"/>
      <x:c r="G197" s="15"/>
      <x:c r="H197" s="15"/>
    </x:row>
    <x:row r="199">
      <x:c r="A199" s="22" t="str">
        <x:v>Rank</x:v>
      </x:c>
      <x:c r="B199" s="22" t="str">
        <x:v>Keyword A URL</x:v>
      </x:c>
      <x:c r="C199" s="22" t="str">
        <x:v>Keyword A Business/Domain</x:v>
      </x:c>
      <x:c r="D199" s="22" t="str">
        <x:v>Page Type</x:v>
      </x:c>
      <x:c r="E199" s="22" t="str">
        <x:v>Rank</x:v>
      </x:c>
      <x:c r="F199" s="22" t="str">
        <x:v>Keyword B URL</x:v>
      </x:c>
      <x:c r="G199" s="22" t="str">
        <x:v>Keyword B Business/Domain</x:v>
      </x:c>
      <x:c r="H199" s="22" t="str">
        <x:v>Page Type</x:v>
      </x:c>
    </x:row>
    <x:row r="200">
      <x:c r="A200" s="45" t="n">
        <x:v>1</x:v>
      </x:c>
      <x:c r="B200" s="29"/>
      <x:c r="C200" s="29"/>
      <x:c r="D200" s="29"/>
      <x:c r="E200" s="51" t="n">
        <x:v>1</x:v>
      </x:c>
      <x:c r="F200" s="29"/>
      <x:c r="G200" s="29"/>
      <x:c r="H200" s="30"/>
    </x:row>
    <x:row r="201">
      <x:c r="A201" s="46" t="n">
        <x:v>2</x:v>
      </x:c>
      <x:c r="B201" s="32"/>
      <x:c r="C201" s="32"/>
      <x:c r="D201" s="32"/>
      <x:c r="E201" s="52" t="n">
        <x:v>2</x:v>
      </x:c>
      <x:c r="F201" s="32"/>
      <x:c r="G201" s="32"/>
      <x:c r="H201" s="33"/>
    </x:row>
    <x:row r="202">
      <x:c r="A202" s="46" t="n">
        <x:v>3</x:v>
      </x:c>
      <x:c r="B202" s="32"/>
      <x:c r="C202" s="32"/>
      <x:c r="D202" s="32"/>
      <x:c r="E202" s="52" t="n">
        <x:v>3</x:v>
      </x:c>
      <x:c r="F202" s="32"/>
      <x:c r="G202" s="32"/>
      <x:c r="H202" s="33"/>
    </x:row>
    <x:row r="203">
      <x:c r="A203" s="46" t="n">
        <x:v>4</x:v>
      </x:c>
      <x:c r="B203" s="32"/>
      <x:c r="C203" s="32"/>
      <x:c r="D203" s="32"/>
      <x:c r="E203" s="52" t="n">
        <x:v>4</x:v>
      </x:c>
      <x:c r="F203" s="32"/>
      <x:c r="G203" s="32"/>
      <x:c r="H203" s="33"/>
    </x:row>
    <x:row r="204">
      <x:c r="A204" s="46" t="n">
        <x:v>5</x:v>
      </x:c>
      <x:c r="B204" s="32"/>
      <x:c r="C204" s="32"/>
      <x:c r="D204" s="32"/>
      <x:c r="E204" s="52" t="n">
        <x:v>5</x:v>
      </x:c>
      <x:c r="F204" s="32"/>
      <x:c r="G204" s="32"/>
      <x:c r="H204" s="33"/>
    </x:row>
    <x:row r="205">
      <x:c r="A205" s="46" t="n">
        <x:v>6</x:v>
      </x:c>
      <x:c r="B205" s="32"/>
      <x:c r="C205" s="32"/>
      <x:c r="D205" s="32"/>
      <x:c r="E205" s="52" t="n">
        <x:v>6</x:v>
      </x:c>
      <x:c r="F205" s="32"/>
      <x:c r="G205" s="32"/>
      <x:c r="H205" s="33"/>
    </x:row>
    <x:row r="206">
      <x:c r="A206" s="46" t="n">
        <x:v>7</x:v>
      </x:c>
      <x:c r="B206" s="32"/>
      <x:c r="C206" s="32"/>
      <x:c r="D206" s="32"/>
      <x:c r="E206" s="52" t="n">
        <x:v>7</x:v>
      </x:c>
      <x:c r="F206" s="32"/>
      <x:c r="G206" s="32"/>
      <x:c r="H206" s="33"/>
    </x:row>
    <x:row r="207">
      <x:c r="A207" s="47" t="n">
        <x:v>8</x:v>
      </x:c>
      <x:c r="B207" s="35"/>
      <x:c r="C207" s="35"/>
      <x:c r="D207" s="35"/>
      <x:c r="E207" s="53" t="n">
        <x:v>8</x:v>
      </x:c>
      <x:c r="F207" s="35"/>
      <x:c r="G207" s="35"/>
      <x:c r="H207" s="36"/>
    </x:row>
    <x:row r="208">
      <x:c r="A208" s="57" t="str">
        <x:v>MATCH HIGHLIGHTS</x:v>
      </x:c>
      <x:c r="B208" s="57"/>
    </x:row>
    <x:row r="209">
      <x:c r="A209" s="60" t="str">
        <x:v>Exact URL</x:v>
      </x:c>
      <x:c r="B209" s="64" t="str">
        <x:v>Same business/domain</x:v>
      </x:c>
    </x:row>
    <x:row r="210">
      <x:c r="A210" s="8" t="str">
        <x:v>Overlap Signal</x:v>
      </x:c>
      <x:c r="D210" s="72" t="str">
        <x:v>FAST RULE
• 7–8 same URLs = strong overlap
• 3–6 same URLs = gray zone; discuss
• 0–2 same URLs = likely different intent
Use 5–8 organic results. Ignore ads, map packs, and duplicate sitelinks.</x:v>
      </x:c>
      <x:c r="E210" s="72"/>
      <x:c r="F210" s="72"/>
      <x:c r="G210" s="72"/>
      <x:c r="H210" s="72"/>
    </x:row>
    <x:row r="211">
      <x:c r="A211" s="8" t="str">
        <x:v>Same exact URL count</x:v>
      </x:c>
      <x:c r="B211" t="n">
        <x:f>SUMPRODUCT(--(B200:B207&lt;&gt;""),--(COUNTIF(F200:F207,B200:B207)&gt;0))</x:f>
        <x:v>0</x:v>
      </x:c>
      <x:c r="D211" s="72"/>
      <x:c r="E211" s="72"/>
      <x:c r="F211" s="72"/>
      <x:c r="G211" s="72"/>
      <x:c r="H211" s="72"/>
    </x:row>
    <x:row r="212">
      <x:c r="A212" s="8" t="str">
        <x:v>Same business/domain count</x:v>
      </x:c>
      <x:c r="B212" t="n">
        <x:f>SUMPRODUCT(--(C200:C207&lt;&gt;""),--(COUNTIF(G200:G207,C200:C207)&gt;0))</x:f>
        <x:v>0</x:v>
      </x:c>
      <x:c r="D212" s="72"/>
      <x:c r="E212" s="72"/>
      <x:c r="F212" s="72"/>
      <x:c r="G212" s="72"/>
      <x:c r="H212" s="72"/>
    </x:row>
    <x:row r="213">
      <x:c r="A213" s="8" t="str">
        <x:v>Same page-type count</x:v>
      </x:c>
      <x:c r="B213" t="n">
        <x:f>SUMPRODUCT(--(D200:D207&lt;&gt;""),--(COUNTIF(H200:H207,D200:D207)&gt;0))</x:f>
        <x:v>0</x:v>
      </x:c>
      <x:c r="D213" s="72"/>
      <x:c r="E213" s="72"/>
      <x:c r="F213" s="72"/>
      <x:c r="G213" s="72"/>
      <x:c r="H213" s="72"/>
    </x:row>
    <x:row r="214">
      <x:c r="A214" s="8" t="str">
        <x:v>Quick interpretation</x:v>
      </x:c>
      <x:c r="B214" s="67" t="str">
        <x:f>IF(B211&gt;=7,"Strong overlap: very likely the same search intent.",IF(B211&gt;=3,"GRAY ZONE: 3–6 shared URLs. Review page types, domains, and client priorities.",IF(B212&gt;=4,"Low exact overlap, but many of the same businesses rank with different pages.","Low overlap: likely a meaningfully different intent.")))</x:f>
        <x:v>Low overlap: likely a meaningfully different intent.</x:v>
      </x:c>
      <x:c r="C214" s="67"/>
      <x:c r="D214" s="67"/>
      <x:c r="E214" s="67"/>
      <x:c r="F214" s="67"/>
      <x:c r="G214" s="67"/>
      <x:c r="H214" s="67"/>
    </x:row>
    <x:row r="215">
      <x:c r="A215" s="8" t="str">
        <x:v>Recommended action</x:v>
      </x:c>
      <x:c r="B215" s="67" t="str">
        <x:f>IF(B211&gt;=7,"Keep these keywords in the same cluster/page.",IF(B211&gt;=3,"Discuss on the client call before deciding whether to split.",IF(B212&gt;=4,"Inspect which pages each business uses before splitting.","Consider separate clusters/pages if page types also differ.")))</x:f>
        <x:v>Consider separate clusters/pages if page types also differ.</x:v>
      </x:c>
      <x:c r="C215" s="67"/>
      <x:c r="D215" s="67"/>
      <x:c r="E215" s="67"/>
      <x:c r="F215" s="67"/>
      <x:c r="G215" s="67"/>
      <x:c r="H215" s="67"/>
    </x:row>
    <x:row r="216" ht="8" customHeight="1"/>
    <x:row r="217" ht="26" customHeight="1">
      <x:c r="A217" s="4" t="str">
        <x:v>SERP Overlap Quick Check — Comparison 10</x:v>
      </x:c>
      <x:c r="B217" s="4"/>
      <x:c r="C217" s="4"/>
      <x:c r="D217" s="4"/>
      <x:c r="E217" s="4"/>
      <x:c r="F217" s="4"/>
      <x:c r="G217" s="4"/>
      <x:c r="H217" s="4"/>
    </x:row>
    <x:row r="218">
      <x:c r="A218" s="8" t="str">
        <x:v>Cluster / Topic</x:v>
      </x:c>
      <x:c r="B218" s="14"/>
      <x:c r="C218" s="14"/>
      <x:c r="D218" s="14"/>
      <x:c r="E218" s="14"/>
      <x:c r="F218" s="14"/>
      <x:c r="G218" s="14"/>
      <x:c r="H218" s="14"/>
    </x:row>
    <x:row r="219">
      <x:c r="A219" s="8" t="str">
        <x:v>Keyword A</x:v>
      </x:c>
      <x:c r="B219" s="14"/>
      <x:c r="C219" s="14"/>
      <x:c r="D219" s="14"/>
      <x:c r="E219" s="14"/>
      <x:c r="F219" s="14"/>
      <x:c r="G219" s="14"/>
      <x:c r="H219" s="14"/>
    </x:row>
    <x:row r="220">
      <x:c r="A220" s="8" t="str">
        <x:v>Keyword B</x:v>
      </x:c>
      <x:c r="B220" s="14"/>
      <x:c r="C220" s="14"/>
      <x:c r="D220" s="14"/>
      <x:c r="E220" s="14"/>
      <x:c r="F220" s="14"/>
      <x:c r="G220" s="14"/>
      <x:c r="H220" s="14"/>
    </x:row>
    <x:row r="221">
      <x:c r="A221" s="8" t="str">
        <x:v>Decision</x:v>
      </x:c>
      <x:c r="B221" s="15" t="str">
        <x:f>B239</x:f>
        <x:v>Consider separate clusters/pages if page types also differ.</x:v>
      </x:c>
      <x:c r="C221" s="15"/>
      <x:c r="D221" s="15"/>
      <x:c r="E221" s="15"/>
      <x:c r="F221" s="15"/>
      <x:c r="G221" s="15"/>
      <x:c r="H221" s="15"/>
    </x:row>
    <x:row r="223">
      <x:c r="A223" s="22" t="str">
        <x:v>Rank</x:v>
      </x:c>
      <x:c r="B223" s="22" t="str">
        <x:v>Keyword A URL</x:v>
      </x:c>
      <x:c r="C223" s="22" t="str">
        <x:v>Keyword A Business/Domain</x:v>
      </x:c>
      <x:c r="D223" s="22" t="str">
        <x:v>Page Type</x:v>
      </x:c>
      <x:c r="E223" s="22" t="str">
        <x:v>Rank</x:v>
      </x:c>
      <x:c r="F223" s="22" t="str">
        <x:v>Keyword B URL</x:v>
      </x:c>
      <x:c r="G223" s="22" t="str">
        <x:v>Keyword B Business/Domain</x:v>
      </x:c>
      <x:c r="H223" s="22" t="str">
        <x:v>Page Type</x:v>
      </x:c>
    </x:row>
    <x:row r="224">
      <x:c r="A224" s="45" t="n">
        <x:v>1</x:v>
      </x:c>
      <x:c r="B224" s="29"/>
      <x:c r="C224" s="29"/>
      <x:c r="D224" s="29"/>
      <x:c r="E224" s="51" t="n">
        <x:v>1</x:v>
      </x:c>
      <x:c r="F224" s="29"/>
      <x:c r="G224" s="29"/>
      <x:c r="H224" s="30"/>
    </x:row>
    <x:row r="225">
      <x:c r="A225" s="46" t="n">
        <x:v>2</x:v>
      </x:c>
      <x:c r="B225" s="32"/>
      <x:c r="C225" s="32"/>
      <x:c r="D225" s="32"/>
      <x:c r="E225" s="52" t="n">
        <x:v>2</x:v>
      </x:c>
      <x:c r="F225" s="32"/>
      <x:c r="G225" s="32"/>
      <x:c r="H225" s="33"/>
    </x:row>
    <x:row r="226">
      <x:c r="A226" s="46" t="n">
        <x:v>3</x:v>
      </x:c>
      <x:c r="B226" s="32"/>
      <x:c r="C226" s="32"/>
      <x:c r="D226" s="32"/>
      <x:c r="E226" s="52" t="n">
        <x:v>3</x:v>
      </x:c>
      <x:c r="F226" s="32"/>
      <x:c r="G226" s="32"/>
      <x:c r="H226" s="33"/>
    </x:row>
    <x:row r="227">
      <x:c r="A227" s="46" t="n">
        <x:v>4</x:v>
      </x:c>
      <x:c r="B227" s="32"/>
      <x:c r="C227" s="32"/>
      <x:c r="D227" s="32"/>
      <x:c r="E227" s="52" t="n">
        <x:v>4</x:v>
      </x:c>
      <x:c r="F227" s="32"/>
      <x:c r="G227" s="32"/>
      <x:c r="H227" s="33"/>
    </x:row>
    <x:row r="228">
      <x:c r="A228" s="46" t="n">
        <x:v>5</x:v>
      </x:c>
      <x:c r="B228" s="32"/>
      <x:c r="C228" s="32"/>
      <x:c r="D228" s="32"/>
      <x:c r="E228" s="52" t="n">
        <x:v>5</x:v>
      </x:c>
      <x:c r="F228" s="32"/>
      <x:c r="G228" s="32"/>
      <x:c r="H228" s="33"/>
    </x:row>
    <x:row r="229">
      <x:c r="A229" s="46" t="n">
        <x:v>6</x:v>
      </x:c>
      <x:c r="B229" s="32"/>
      <x:c r="C229" s="32"/>
      <x:c r="D229" s="32"/>
      <x:c r="E229" s="52" t="n">
        <x:v>6</x:v>
      </x:c>
      <x:c r="F229" s="32"/>
      <x:c r="G229" s="32"/>
      <x:c r="H229" s="33"/>
    </x:row>
    <x:row r="230">
      <x:c r="A230" s="46" t="n">
        <x:v>7</x:v>
      </x:c>
      <x:c r="B230" s="32"/>
      <x:c r="C230" s="32"/>
      <x:c r="D230" s="32"/>
      <x:c r="E230" s="52" t="n">
        <x:v>7</x:v>
      </x:c>
      <x:c r="F230" s="32"/>
      <x:c r="G230" s="32"/>
      <x:c r="H230" s="33"/>
    </x:row>
    <x:row r="231">
      <x:c r="A231" s="47" t="n">
        <x:v>8</x:v>
      </x:c>
      <x:c r="B231" s="35"/>
      <x:c r="C231" s="35"/>
      <x:c r="D231" s="35"/>
      <x:c r="E231" s="53" t="n">
        <x:v>8</x:v>
      </x:c>
      <x:c r="F231" s="35"/>
      <x:c r="G231" s="35"/>
      <x:c r="H231" s="36"/>
    </x:row>
    <x:row r="232">
      <x:c r="A232" s="57" t="str">
        <x:v>MATCH HIGHLIGHTS</x:v>
      </x:c>
      <x:c r="B232" s="57"/>
    </x:row>
    <x:row r="233">
      <x:c r="A233" s="60" t="str">
        <x:v>Exact URL</x:v>
      </x:c>
      <x:c r="B233" s="64" t="str">
        <x:v>Same business/domain</x:v>
      </x:c>
    </x:row>
    <x:row r="234">
      <x:c r="A234" s="8" t="str">
        <x:v>Overlap Signal</x:v>
      </x:c>
      <x:c r="D234" s="72" t="str">
        <x:v>FAST RULE
• 7–8 same URLs = strong overlap
• 3–6 same URLs = gray zone; discuss
• 0–2 same URLs = likely different intent
Use 5–8 organic results. Ignore ads, map packs, and duplicate sitelinks.</x:v>
      </x:c>
      <x:c r="E234" s="72"/>
      <x:c r="F234" s="72"/>
      <x:c r="G234" s="72"/>
      <x:c r="H234" s="72"/>
    </x:row>
    <x:row r="235">
      <x:c r="A235" s="8" t="str">
        <x:v>Same exact URL count</x:v>
      </x:c>
      <x:c r="B235" t="n">
        <x:f>SUMPRODUCT(--(B224:B231&lt;&gt;""),--(COUNTIF(F224:F231,B224:B231)&gt;0))</x:f>
        <x:v>0</x:v>
      </x:c>
      <x:c r="D235" s="72"/>
      <x:c r="E235" s="72"/>
      <x:c r="F235" s="72"/>
      <x:c r="G235" s="72"/>
      <x:c r="H235" s="72"/>
    </x:row>
    <x:row r="236">
      <x:c r="A236" s="8" t="str">
        <x:v>Same business/domain count</x:v>
      </x:c>
      <x:c r="B236" t="n">
        <x:f>SUMPRODUCT(--(C224:C231&lt;&gt;""),--(COUNTIF(G224:G231,C224:C231)&gt;0))</x:f>
        <x:v>0</x:v>
      </x:c>
      <x:c r="D236" s="72"/>
      <x:c r="E236" s="72"/>
      <x:c r="F236" s="72"/>
      <x:c r="G236" s="72"/>
      <x:c r="H236" s="72"/>
    </x:row>
    <x:row r="237">
      <x:c r="A237" s="8" t="str">
        <x:v>Same page-type count</x:v>
      </x:c>
      <x:c r="B237" t="n">
        <x:f>SUMPRODUCT(--(D224:D231&lt;&gt;""),--(COUNTIF(H224:H231,D224:D231)&gt;0))</x:f>
        <x:v>0</x:v>
      </x:c>
      <x:c r="D237" s="72"/>
      <x:c r="E237" s="72"/>
      <x:c r="F237" s="72"/>
      <x:c r="G237" s="72"/>
      <x:c r="H237" s="72"/>
    </x:row>
    <x:row r="238">
      <x:c r="A238" s="8" t="str">
        <x:v>Quick interpretation</x:v>
      </x:c>
      <x:c r="B238" s="67" t="str">
        <x:f>IF(B235&gt;=7,"Strong overlap: very likely the same search intent.",IF(B235&gt;=3,"GRAY ZONE: 3–6 shared URLs. Review page types, domains, and client priorities.",IF(B236&gt;=4,"Low exact overlap, but many of the same businesses rank with different pages.","Low overlap: likely a meaningfully different intent.")))</x:f>
        <x:v>Low overlap: likely a meaningfully different intent.</x:v>
      </x:c>
      <x:c r="C238" s="67"/>
      <x:c r="D238" s="67"/>
      <x:c r="E238" s="67"/>
      <x:c r="F238" s="67"/>
      <x:c r="G238" s="67"/>
      <x:c r="H238" s="67"/>
    </x:row>
    <x:row r="239">
      <x:c r="A239" s="8" t="str">
        <x:v>Recommended action</x:v>
      </x:c>
      <x:c r="B239" s="67" t="str">
        <x:f>IF(B235&gt;=7,"Keep these keywords in the same cluster/page.",IF(B235&gt;=3,"Discuss on the client call before deciding whether to split.",IF(B236&gt;=4,"Inspect which pages each business uses before splitting.","Consider separate clusters/pages if page types also differ.")))</x:f>
        <x:v>Consider separate clusters/pages if page types also differ.</x:v>
      </x:c>
      <x:c r="C239" s="67"/>
      <x:c r="D239" s="67"/>
      <x:c r="E239" s="67"/>
      <x:c r="F239" s="67"/>
      <x:c r="G239" s="67"/>
      <x:c r="H239" s="67"/>
    </x:row>
    <x:row r="240" ht="8" customHeight="1"/>
    <x:row r="241" ht="26" customHeight="1">
      <x:c r="A241" s="4" t="str">
        <x:v>SERP Overlap Quick Check — Comparison 11</x:v>
      </x:c>
      <x:c r="B241" s="4"/>
      <x:c r="C241" s="4"/>
      <x:c r="D241" s="4"/>
      <x:c r="E241" s="4"/>
      <x:c r="F241" s="4"/>
      <x:c r="G241" s="4"/>
      <x:c r="H241" s="4"/>
    </x:row>
    <x:row r="242">
      <x:c r="A242" s="8" t="str">
        <x:v>Cluster / Topic</x:v>
      </x:c>
      <x:c r="B242" s="14"/>
      <x:c r="C242" s="14"/>
      <x:c r="D242" s="14"/>
      <x:c r="E242" s="14"/>
      <x:c r="F242" s="14"/>
      <x:c r="G242" s="14"/>
      <x:c r="H242" s="14"/>
    </x:row>
    <x:row r="243">
      <x:c r="A243" s="8" t="str">
        <x:v>Keyword A</x:v>
      </x:c>
      <x:c r="B243" s="14"/>
      <x:c r="C243" s="14"/>
      <x:c r="D243" s="14"/>
      <x:c r="E243" s="14"/>
      <x:c r="F243" s="14"/>
      <x:c r="G243" s="14"/>
      <x:c r="H243" s="14"/>
    </x:row>
    <x:row r="244">
      <x:c r="A244" s="8" t="str">
        <x:v>Keyword B</x:v>
      </x:c>
      <x:c r="B244" s="14"/>
      <x:c r="C244" s="14"/>
      <x:c r="D244" s="14"/>
      <x:c r="E244" s="14"/>
      <x:c r="F244" s="14"/>
      <x:c r="G244" s="14"/>
      <x:c r="H244" s="14"/>
    </x:row>
    <x:row r="245">
      <x:c r="A245" s="8" t="str">
        <x:v>Decision</x:v>
      </x:c>
      <x:c r="B245" s="15" t="str">
        <x:f>B263</x:f>
        <x:v>Consider separate clusters/pages if page types also differ.</x:v>
      </x:c>
      <x:c r="C245" s="15"/>
      <x:c r="D245" s="15"/>
      <x:c r="E245" s="15"/>
      <x:c r="F245" s="15"/>
      <x:c r="G245" s="15"/>
      <x:c r="H245" s="15"/>
    </x:row>
    <x:row r="247">
      <x:c r="A247" s="22" t="str">
        <x:v>Rank</x:v>
      </x:c>
      <x:c r="B247" s="22" t="str">
        <x:v>Keyword A URL</x:v>
      </x:c>
      <x:c r="C247" s="22" t="str">
        <x:v>Keyword A Business/Domain</x:v>
      </x:c>
      <x:c r="D247" s="22" t="str">
        <x:v>Page Type</x:v>
      </x:c>
      <x:c r="E247" s="22" t="str">
        <x:v>Rank</x:v>
      </x:c>
      <x:c r="F247" s="22" t="str">
        <x:v>Keyword B URL</x:v>
      </x:c>
      <x:c r="G247" s="22" t="str">
        <x:v>Keyword B Business/Domain</x:v>
      </x:c>
      <x:c r="H247" s="22" t="str">
        <x:v>Page Type</x:v>
      </x:c>
    </x:row>
    <x:row r="248">
      <x:c r="A248" s="45" t="n">
        <x:v>1</x:v>
      </x:c>
      <x:c r="B248" s="29"/>
      <x:c r="C248" s="29"/>
      <x:c r="D248" s="29"/>
      <x:c r="E248" s="51" t="n">
        <x:v>1</x:v>
      </x:c>
      <x:c r="F248" s="29"/>
      <x:c r="G248" s="29"/>
      <x:c r="H248" s="30"/>
    </x:row>
    <x:row r="249">
      <x:c r="A249" s="46" t="n">
        <x:v>2</x:v>
      </x:c>
      <x:c r="B249" s="32"/>
      <x:c r="C249" s="32"/>
      <x:c r="D249" s="32"/>
      <x:c r="E249" s="52" t="n">
        <x:v>2</x:v>
      </x:c>
      <x:c r="F249" s="32"/>
      <x:c r="G249" s="32"/>
      <x:c r="H249" s="33"/>
    </x:row>
    <x:row r="250">
      <x:c r="A250" s="46" t="n">
        <x:v>3</x:v>
      </x:c>
      <x:c r="B250" s="32"/>
      <x:c r="C250" s="32"/>
      <x:c r="D250" s="32"/>
      <x:c r="E250" s="52" t="n">
        <x:v>3</x:v>
      </x:c>
      <x:c r="F250" s="32"/>
      <x:c r="G250" s="32"/>
      <x:c r="H250" s="33"/>
    </x:row>
    <x:row r="251">
      <x:c r="A251" s="46" t="n">
        <x:v>4</x:v>
      </x:c>
      <x:c r="B251" s="32"/>
      <x:c r="C251" s="32"/>
      <x:c r="D251" s="32"/>
      <x:c r="E251" s="52" t="n">
        <x:v>4</x:v>
      </x:c>
      <x:c r="F251" s="32"/>
      <x:c r="G251" s="32"/>
      <x:c r="H251" s="33"/>
    </x:row>
    <x:row r="252">
      <x:c r="A252" s="46" t="n">
        <x:v>5</x:v>
      </x:c>
      <x:c r="B252" s="32"/>
      <x:c r="C252" s="32"/>
      <x:c r="D252" s="32"/>
      <x:c r="E252" s="52" t="n">
        <x:v>5</x:v>
      </x:c>
      <x:c r="F252" s="32"/>
      <x:c r="G252" s="32"/>
      <x:c r="H252" s="33"/>
    </x:row>
    <x:row r="253">
      <x:c r="A253" s="46" t="n">
        <x:v>6</x:v>
      </x:c>
      <x:c r="B253" s="32"/>
      <x:c r="C253" s="32"/>
      <x:c r="D253" s="32"/>
      <x:c r="E253" s="52" t="n">
        <x:v>6</x:v>
      </x:c>
      <x:c r="F253" s="32"/>
      <x:c r="G253" s="32"/>
      <x:c r="H253" s="33"/>
    </x:row>
    <x:row r="254">
      <x:c r="A254" s="46" t="n">
        <x:v>7</x:v>
      </x:c>
      <x:c r="B254" s="32"/>
      <x:c r="C254" s="32"/>
      <x:c r="D254" s="32"/>
      <x:c r="E254" s="52" t="n">
        <x:v>7</x:v>
      </x:c>
      <x:c r="F254" s="32"/>
      <x:c r="G254" s="32"/>
      <x:c r="H254" s="33"/>
    </x:row>
    <x:row r="255">
      <x:c r="A255" s="47" t="n">
        <x:v>8</x:v>
      </x:c>
      <x:c r="B255" s="35"/>
      <x:c r="C255" s="35"/>
      <x:c r="D255" s="35"/>
      <x:c r="E255" s="53" t="n">
        <x:v>8</x:v>
      </x:c>
      <x:c r="F255" s="35"/>
      <x:c r="G255" s="35"/>
      <x:c r="H255" s="36"/>
    </x:row>
    <x:row r="256">
      <x:c r="A256" s="57" t="str">
        <x:v>MATCH HIGHLIGHTS</x:v>
      </x:c>
      <x:c r="B256" s="57"/>
    </x:row>
    <x:row r="257">
      <x:c r="A257" s="60" t="str">
        <x:v>Exact URL</x:v>
      </x:c>
      <x:c r="B257" s="64" t="str">
        <x:v>Same business/domain</x:v>
      </x:c>
    </x:row>
    <x:row r="258">
      <x:c r="A258" s="8" t="str">
        <x:v>Overlap Signal</x:v>
      </x:c>
      <x:c r="D258" s="72" t="str">
        <x:v>FAST RULE
• 7–8 same URLs = strong overlap
• 3–6 same URLs = gray zone; discuss
• 0–2 same URLs = likely different intent
Use 5–8 organic results. Ignore ads, map packs, and duplicate sitelinks.</x:v>
      </x:c>
      <x:c r="E258" s="72"/>
      <x:c r="F258" s="72"/>
      <x:c r="G258" s="72"/>
      <x:c r="H258" s="72"/>
    </x:row>
    <x:row r="259">
      <x:c r="A259" s="8" t="str">
        <x:v>Same exact URL count</x:v>
      </x:c>
      <x:c r="B259" t="n">
        <x:f>SUMPRODUCT(--(B248:B255&lt;&gt;""),--(COUNTIF(F248:F255,B248:B255)&gt;0))</x:f>
        <x:v>0</x:v>
      </x:c>
      <x:c r="D259" s="72"/>
      <x:c r="E259" s="72"/>
      <x:c r="F259" s="72"/>
      <x:c r="G259" s="72"/>
      <x:c r="H259" s="72"/>
    </x:row>
    <x:row r="260">
      <x:c r="A260" s="8" t="str">
        <x:v>Same business/domain count</x:v>
      </x:c>
      <x:c r="B260" t="n">
        <x:f>SUMPRODUCT(--(C248:C255&lt;&gt;""),--(COUNTIF(G248:G255,C248:C255)&gt;0))</x:f>
        <x:v>0</x:v>
      </x:c>
      <x:c r="D260" s="72"/>
      <x:c r="E260" s="72"/>
      <x:c r="F260" s="72"/>
      <x:c r="G260" s="72"/>
      <x:c r="H260" s="72"/>
    </x:row>
    <x:row r="261">
      <x:c r="A261" s="8" t="str">
        <x:v>Same page-type count</x:v>
      </x:c>
      <x:c r="B261" t="n">
        <x:f>SUMPRODUCT(--(D248:D255&lt;&gt;""),--(COUNTIF(H248:H255,D248:D255)&gt;0))</x:f>
        <x:v>0</x:v>
      </x:c>
      <x:c r="D261" s="72"/>
      <x:c r="E261" s="72"/>
      <x:c r="F261" s="72"/>
      <x:c r="G261" s="72"/>
      <x:c r="H261" s="72"/>
    </x:row>
    <x:row r="262">
      <x:c r="A262" s="8" t="str">
        <x:v>Quick interpretation</x:v>
      </x:c>
      <x:c r="B262" s="67" t="str">
        <x:f>IF(B259&gt;=7,"Strong overlap: very likely the same search intent.",IF(B259&gt;=3,"GRAY ZONE: 3–6 shared URLs. Review page types, domains, and client priorities.",IF(B260&gt;=4,"Low exact overlap, but many of the same businesses rank with different pages.","Low overlap: likely a meaningfully different intent.")))</x:f>
        <x:v>Low overlap: likely a meaningfully different intent.</x:v>
      </x:c>
      <x:c r="C262" s="67"/>
      <x:c r="D262" s="67"/>
      <x:c r="E262" s="67"/>
      <x:c r="F262" s="67"/>
      <x:c r="G262" s="67"/>
      <x:c r="H262" s="67"/>
    </x:row>
    <x:row r="263">
      <x:c r="A263" s="8" t="str">
        <x:v>Recommended action</x:v>
      </x:c>
      <x:c r="B263" s="67" t="str">
        <x:f>IF(B259&gt;=7,"Keep these keywords in the same cluster/page.",IF(B259&gt;=3,"Discuss on the client call before deciding whether to split.",IF(B260&gt;=4,"Inspect which pages each business uses before splitting.","Consider separate clusters/pages if page types also differ.")))</x:f>
        <x:v>Consider separate clusters/pages if page types also differ.</x:v>
      </x:c>
      <x:c r="C263" s="67"/>
      <x:c r="D263" s="67"/>
      <x:c r="E263" s="67"/>
      <x:c r="F263" s="67"/>
      <x:c r="G263" s="67"/>
      <x:c r="H263" s="67"/>
    </x:row>
    <x:row r="264" ht="8" customHeight="1"/>
    <x:row r="265" ht="26" customHeight="1">
      <x:c r="A265" s="4" t="str">
        <x:v>SERP Overlap Quick Check — Comparison 12</x:v>
      </x:c>
      <x:c r="B265" s="4"/>
      <x:c r="C265" s="4"/>
      <x:c r="D265" s="4"/>
      <x:c r="E265" s="4"/>
      <x:c r="F265" s="4"/>
      <x:c r="G265" s="4"/>
      <x:c r="H265" s="4"/>
    </x:row>
    <x:row r="266">
      <x:c r="A266" s="8" t="str">
        <x:v>Cluster / Topic</x:v>
      </x:c>
      <x:c r="B266" s="14"/>
      <x:c r="C266" s="14"/>
      <x:c r="D266" s="14"/>
      <x:c r="E266" s="14"/>
      <x:c r="F266" s="14"/>
      <x:c r="G266" s="14"/>
      <x:c r="H266" s="14"/>
    </x:row>
    <x:row r="267">
      <x:c r="A267" s="8" t="str">
        <x:v>Keyword A</x:v>
      </x:c>
      <x:c r="B267" s="14"/>
      <x:c r="C267" s="14"/>
      <x:c r="D267" s="14"/>
      <x:c r="E267" s="14"/>
      <x:c r="F267" s="14"/>
      <x:c r="G267" s="14"/>
      <x:c r="H267" s="14"/>
    </x:row>
    <x:row r="268">
      <x:c r="A268" s="8" t="str">
        <x:v>Keyword B</x:v>
      </x:c>
      <x:c r="B268" s="14"/>
      <x:c r="C268" s="14"/>
      <x:c r="D268" s="14"/>
      <x:c r="E268" s="14"/>
      <x:c r="F268" s="14"/>
      <x:c r="G268" s="14"/>
      <x:c r="H268" s="14"/>
    </x:row>
    <x:row r="269">
      <x:c r="A269" s="8" t="str">
        <x:v>Decision</x:v>
      </x:c>
      <x:c r="B269" s="15" t="str">
        <x:f>B287</x:f>
        <x:v>Consider separate clusters/pages if page types also differ.</x:v>
      </x:c>
      <x:c r="C269" s="15"/>
      <x:c r="D269" s="15"/>
      <x:c r="E269" s="15"/>
      <x:c r="F269" s="15"/>
      <x:c r="G269" s="15"/>
      <x:c r="H269" s="15"/>
    </x:row>
    <x:row r="271">
      <x:c r="A271" s="22" t="str">
        <x:v>Rank</x:v>
      </x:c>
      <x:c r="B271" s="22" t="str">
        <x:v>Keyword A URL</x:v>
      </x:c>
      <x:c r="C271" s="22" t="str">
        <x:v>Keyword A Business/Domain</x:v>
      </x:c>
      <x:c r="D271" s="22" t="str">
        <x:v>Page Type</x:v>
      </x:c>
      <x:c r="E271" s="22" t="str">
        <x:v>Rank</x:v>
      </x:c>
      <x:c r="F271" s="22" t="str">
        <x:v>Keyword B URL</x:v>
      </x:c>
      <x:c r="G271" s="22" t="str">
        <x:v>Keyword B Business/Domain</x:v>
      </x:c>
      <x:c r="H271" s="22" t="str">
        <x:v>Page Type</x:v>
      </x:c>
    </x:row>
    <x:row r="272">
      <x:c r="A272" s="45" t="n">
        <x:v>1</x:v>
      </x:c>
      <x:c r="B272" s="29"/>
      <x:c r="C272" s="29"/>
      <x:c r="D272" s="29"/>
      <x:c r="E272" s="51" t="n">
        <x:v>1</x:v>
      </x:c>
      <x:c r="F272" s="29"/>
      <x:c r="G272" s="29"/>
      <x:c r="H272" s="30"/>
    </x:row>
    <x:row r="273">
      <x:c r="A273" s="46" t="n">
        <x:v>2</x:v>
      </x:c>
      <x:c r="B273" s="32"/>
      <x:c r="C273" s="32"/>
      <x:c r="D273" s="32"/>
      <x:c r="E273" s="52" t="n">
        <x:v>2</x:v>
      </x:c>
      <x:c r="F273" s="32"/>
      <x:c r="G273" s="32"/>
      <x:c r="H273" s="33"/>
    </x:row>
    <x:row r="274">
      <x:c r="A274" s="46" t="n">
        <x:v>3</x:v>
      </x:c>
      <x:c r="B274" s="32"/>
      <x:c r="C274" s="32"/>
      <x:c r="D274" s="32"/>
      <x:c r="E274" s="52" t="n">
        <x:v>3</x:v>
      </x:c>
      <x:c r="F274" s="32"/>
      <x:c r="G274" s="32"/>
      <x:c r="H274" s="33"/>
    </x:row>
    <x:row r="275">
      <x:c r="A275" s="46" t="n">
        <x:v>4</x:v>
      </x:c>
      <x:c r="B275" s="32"/>
      <x:c r="C275" s="32"/>
      <x:c r="D275" s="32"/>
      <x:c r="E275" s="52" t="n">
        <x:v>4</x:v>
      </x:c>
      <x:c r="F275" s="32"/>
      <x:c r="G275" s="32"/>
      <x:c r="H275" s="33"/>
    </x:row>
    <x:row r="276">
      <x:c r="A276" s="46" t="n">
        <x:v>5</x:v>
      </x:c>
      <x:c r="B276" s="32"/>
      <x:c r="C276" s="32"/>
      <x:c r="D276" s="32"/>
      <x:c r="E276" s="52" t="n">
        <x:v>5</x:v>
      </x:c>
      <x:c r="F276" s="32"/>
      <x:c r="G276" s="32"/>
      <x:c r="H276" s="33"/>
    </x:row>
    <x:row r="277">
      <x:c r="A277" s="46" t="n">
        <x:v>6</x:v>
      </x:c>
      <x:c r="B277" s="32"/>
      <x:c r="C277" s="32"/>
      <x:c r="D277" s="32"/>
      <x:c r="E277" s="52" t="n">
        <x:v>6</x:v>
      </x:c>
      <x:c r="F277" s="32"/>
      <x:c r="G277" s="32"/>
      <x:c r="H277" s="33"/>
    </x:row>
    <x:row r="278">
      <x:c r="A278" s="46" t="n">
        <x:v>7</x:v>
      </x:c>
      <x:c r="B278" s="32"/>
      <x:c r="C278" s="32"/>
      <x:c r="D278" s="32"/>
      <x:c r="E278" s="52" t="n">
        <x:v>7</x:v>
      </x:c>
      <x:c r="F278" s="32"/>
      <x:c r="G278" s="32"/>
      <x:c r="H278" s="33"/>
    </x:row>
    <x:row r="279">
      <x:c r="A279" s="47" t="n">
        <x:v>8</x:v>
      </x:c>
      <x:c r="B279" s="35"/>
      <x:c r="C279" s="35"/>
      <x:c r="D279" s="35"/>
      <x:c r="E279" s="53" t="n">
        <x:v>8</x:v>
      </x:c>
      <x:c r="F279" s="35"/>
      <x:c r="G279" s="35"/>
      <x:c r="H279" s="36"/>
    </x:row>
    <x:row r="280">
      <x:c r="A280" s="57" t="str">
        <x:v>MATCH HIGHLIGHTS</x:v>
      </x:c>
      <x:c r="B280" s="57"/>
    </x:row>
    <x:row r="281">
      <x:c r="A281" s="60" t="str">
        <x:v>Exact URL</x:v>
      </x:c>
      <x:c r="B281" s="64" t="str">
        <x:v>Same business/domain</x:v>
      </x:c>
    </x:row>
    <x:row r="282">
      <x:c r="A282" s="8" t="str">
        <x:v>Overlap Signal</x:v>
      </x:c>
      <x:c r="D282" s="72" t="str">
        <x:v>FAST RULE
• 7–8 same URLs = strong overlap
• 3–6 same URLs = gray zone; discuss
• 0–2 same URLs = likely different intent
Use 5–8 organic results. Ignore ads, map packs, and duplicate sitelinks.</x:v>
      </x:c>
      <x:c r="E282" s="72"/>
      <x:c r="F282" s="72"/>
      <x:c r="G282" s="72"/>
      <x:c r="H282" s="72"/>
    </x:row>
    <x:row r="283">
      <x:c r="A283" s="8" t="str">
        <x:v>Same exact URL count</x:v>
      </x:c>
      <x:c r="B283" t="n">
        <x:f>SUMPRODUCT(--(B272:B279&lt;&gt;""),--(COUNTIF(F272:F279,B272:B279)&gt;0))</x:f>
        <x:v>0</x:v>
      </x:c>
      <x:c r="D283" s="72"/>
      <x:c r="E283" s="72"/>
      <x:c r="F283" s="72"/>
      <x:c r="G283" s="72"/>
      <x:c r="H283" s="72"/>
    </x:row>
    <x:row r="284">
      <x:c r="A284" s="8" t="str">
        <x:v>Same business/domain count</x:v>
      </x:c>
      <x:c r="B284" t="n">
        <x:f>SUMPRODUCT(--(C272:C279&lt;&gt;""),--(COUNTIF(G272:G279,C272:C279)&gt;0))</x:f>
        <x:v>0</x:v>
      </x:c>
      <x:c r="D284" s="72"/>
      <x:c r="E284" s="72"/>
      <x:c r="F284" s="72"/>
      <x:c r="G284" s="72"/>
      <x:c r="H284" s="72"/>
    </x:row>
    <x:row r="285">
      <x:c r="A285" s="8" t="str">
        <x:v>Same page-type count</x:v>
      </x:c>
      <x:c r="B285" t="n">
        <x:f>SUMPRODUCT(--(D272:D279&lt;&gt;""),--(COUNTIF(H272:H279,D272:D279)&gt;0))</x:f>
        <x:v>0</x:v>
      </x:c>
      <x:c r="D285" s="72"/>
      <x:c r="E285" s="72"/>
      <x:c r="F285" s="72"/>
      <x:c r="G285" s="72"/>
      <x:c r="H285" s="72"/>
    </x:row>
    <x:row r="286">
      <x:c r="A286" s="8" t="str">
        <x:v>Quick interpretation</x:v>
      </x:c>
      <x:c r="B286" s="67" t="str">
        <x:f>IF(B283&gt;=7,"Strong overlap: very likely the same search intent.",IF(B283&gt;=3,"GRAY ZONE: 3–6 shared URLs. Review page types, domains, and client priorities.",IF(B284&gt;=4,"Low exact overlap, but many of the same businesses rank with different pages.","Low overlap: likely a meaningfully different intent.")))</x:f>
        <x:v>Low overlap: likely a meaningfully different intent.</x:v>
      </x:c>
      <x:c r="C286" s="67"/>
      <x:c r="D286" s="67"/>
      <x:c r="E286" s="67"/>
      <x:c r="F286" s="67"/>
      <x:c r="G286" s="67"/>
      <x:c r="H286" s="67"/>
    </x:row>
    <x:row r="287">
      <x:c r="A287" s="8" t="str">
        <x:v>Recommended action</x:v>
      </x:c>
      <x:c r="B287" s="67" t="str">
        <x:f>IF(B283&gt;=7,"Keep these keywords in the same cluster/page.",IF(B283&gt;=3,"Discuss on the client call before deciding whether to split.",IF(B284&gt;=4,"Inspect which pages each business uses before splitting.","Consider separate clusters/pages if page types also differ.")))</x:f>
        <x:v>Consider separate clusters/pages if page types also differ.</x:v>
      </x:c>
      <x:c r="C287" s="67"/>
      <x:c r="D287" s="67"/>
      <x:c r="E287" s="67"/>
      <x:c r="F287" s="67"/>
      <x:c r="G287" s="67"/>
      <x:c r="H287" s="67"/>
    </x:row>
    <x:row r="288" ht="8" customHeight="1"/>
    <x:row r="289" ht="26" customHeight="1">
      <x:c r="A289" s="4" t="str">
        <x:v>SERP Overlap Quick Check — Comparison 13</x:v>
      </x:c>
      <x:c r="B289" s="4"/>
      <x:c r="C289" s="4"/>
      <x:c r="D289" s="4"/>
      <x:c r="E289" s="4"/>
      <x:c r="F289" s="4"/>
      <x:c r="G289" s="4"/>
      <x:c r="H289" s="4"/>
    </x:row>
    <x:row r="290">
      <x:c r="A290" s="8" t="str">
        <x:v>Cluster / Topic</x:v>
      </x:c>
      <x:c r="B290" s="14"/>
      <x:c r="C290" s="14"/>
      <x:c r="D290" s="14"/>
      <x:c r="E290" s="14"/>
      <x:c r="F290" s="14"/>
      <x:c r="G290" s="14"/>
      <x:c r="H290" s="14"/>
    </x:row>
    <x:row r="291">
      <x:c r="A291" s="8" t="str">
        <x:v>Keyword A</x:v>
      </x:c>
      <x:c r="B291" s="14"/>
      <x:c r="C291" s="14"/>
      <x:c r="D291" s="14"/>
      <x:c r="E291" s="14"/>
      <x:c r="F291" s="14"/>
      <x:c r="G291" s="14"/>
      <x:c r="H291" s="14"/>
    </x:row>
    <x:row r="292">
      <x:c r="A292" s="8" t="str">
        <x:v>Keyword B</x:v>
      </x:c>
      <x:c r="B292" s="14"/>
      <x:c r="C292" s="14"/>
      <x:c r="D292" s="14"/>
      <x:c r="E292" s="14"/>
      <x:c r="F292" s="14"/>
      <x:c r="G292" s="14"/>
      <x:c r="H292" s="14"/>
    </x:row>
    <x:row r="293">
      <x:c r="A293" s="8" t="str">
        <x:v>Decision</x:v>
      </x:c>
      <x:c r="B293" s="15" t="str">
        <x:f>B311</x:f>
        <x:v>Consider separate clusters/pages if page types also differ.</x:v>
      </x:c>
      <x:c r="C293" s="15"/>
      <x:c r="D293" s="15"/>
      <x:c r="E293" s="15"/>
      <x:c r="F293" s="15"/>
      <x:c r="G293" s="15"/>
      <x:c r="H293" s="15"/>
    </x:row>
    <x:row r="295">
      <x:c r="A295" s="22" t="str">
        <x:v>Rank</x:v>
      </x:c>
      <x:c r="B295" s="22" t="str">
        <x:v>Keyword A URL</x:v>
      </x:c>
      <x:c r="C295" s="22" t="str">
        <x:v>Keyword A Business/Domain</x:v>
      </x:c>
      <x:c r="D295" s="22" t="str">
        <x:v>Page Type</x:v>
      </x:c>
      <x:c r="E295" s="22" t="str">
        <x:v>Rank</x:v>
      </x:c>
      <x:c r="F295" s="22" t="str">
        <x:v>Keyword B URL</x:v>
      </x:c>
      <x:c r="G295" s="22" t="str">
        <x:v>Keyword B Business/Domain</x:v>
      </x:c>
      <x:c r="H295" s="22" t="str">
        <x:v>Page Type</x:v>
      </x:c>
    </x:row>
    <x:row r="296">
      <x:c r="A296" s="45" t="n">
        <x:v>1</x:v>
      </x:c>
      <x:c r="B296" s="29"/>
      <x:c r="C296" s="29"/>
      <x:c r="D296" s="29"/>
      <x:c r="E296" s="51" t="n">
        <x:v>1</x:v>
      </x:c>
      <x:c r="F296" s="29"/>
      <x:c r="G296" s="29"/>
      <x:c r="H296" s="30"/>
    </x:row>
    <x:row r="297">
      <x:c r="A297" s="46" t="n">
        <x:v>2</x:v>
      </x:c>
      <x:c r="B297" s="32"/>
      <x:c r="C297" s="32"/>
      <x:c r="D297" s="32"/>
      <x:c r="E297" s="52" t="n">
        <x:v>2</x:v>
      </x:c>
      <x:c r="F297" s="32"/>
      <x:c r="G297" s="32"/>
      <x:c r="H297" s="33"/>
    </x:row>
    <x:row r="298">
      <x:c r="A298" s="46" t="n">
        <x:v>3</x:v>
      </x:c>
      <x:c r="B298" s="32"/>
      <x:c r="C298" s="32"/>
      <x:c r="D298" s="32"/>
      <x:c r="E298" s="52" t="n">
        <x:v>3</x:v>
      </x:c>
      <x:c r="F298" s="32"/>
      <x:c r="G298" s="32"/>
      <x:c r="H298" s="33"/>
    </x:row>
    <x:row r="299">
      <x:c r="A299" s="46" t="n">
        <x:v>4</x:v>
      </x:c>
      <x:c r="B299" s="32"/>
      <x:c r="C299" s="32"/>
      <x:c r="D299" s="32"/>
      <x:c r="E299" s="52" t="n">
        <x:v>4</x:v>
      </x:c>
      <x:c r="F299" s="32"/>
      <x:c r="G299" s="32"/>
      <x:c r="H299" s="33"/>
    </x:row>
    <x:row r="300">
      <x:c r="A300" s="46" t="n">
        <x:v>5</x:v>
      </x:c>
      <x:c r="B300" s="32"/>
      <x:c r="C300" s="32"/>
      <x:c r="D300" s="32"/>
      <x:c r="E300" s="52" t="n">
        <x:v>5</x:v>
      </x:c>
      <x:c r="F300" s="32"/>
      <x:c r="G300" s="32"/>
      <x:c r="H300" s="33"/>
    </x:row>
    <x:row r="301">
      <x:c r="A301" s="46" t="n">
        <x:v>6</x:v>
      </x:c>
      <x:c r="B301" s="32"/>
      <x:c r="C301" s="32"/>
      <x:c r="D301" s="32"/>
      <x:c r="E301" s="52" t="n">
        <x:v>6</x:v>
      </x:c>
      <x:c r="F301" s="32"/>
      <x:c r="G301" s="32"/>
      <x:c r="H301" s="33"/>
    </x:row>
    <x:row r="302">
      <x:c r="A302" s="46" t="n">
        <x:v>7</x:v>
      </x:c>
      <x:c r="B302" s="32"/>
      <x:c r="C302" s="32"/>
      <x:c r="D302" s="32"/>
      <x:c r="E302" s="52" t="n">
        <x:v>7</x:v>
      </x:c>
      <x:c r="F302" s="32"/>
      <x:c r="G302" s="32"/>
      <x:c r="H302" s="33"/>
    </x:row>
    <x:row r="303">
      <x:c r="A303" s="47" t="n">
        <x:v>8</x:v>
      </x:c>
      <x:c r="B303" s="35"/>
      <x:c r="C303" s="35"/>
      <x:c r="D303" s="35"/>
      <x:c r="E303" s="53" t="n">
        <x:v>8</x:v>
      </x:c>
      <x:c r="F303" s="35"/>
      <x:c r="G303" s="35"/>
      <x:c r="H303" s="36"/>
    </x:row>
    <x:row r="304">
      <x:c r="A304" s="57" t="str">
        <x:v>MATCH HIGHLIGHTS</x:v>
      </x:c>
      <x:c r="B304" s="57"/>
    </x:row>
    <x:row r="305">
      <x:c r="A305" s="60" t="str">
        <x:v>Exact URL</x:v>
      </x:c>
      <x:c r="B305" s="64" t="str">
        <x:v>Same business/domain</x:v>
      </x:c>
    </x:row>
    <x:row r="306">
      <x:c r="A306" s="8" t="str">
        <x:v>Overlap Signal</x:v>
      </x:c>
      <x:c r="D306" s="72" t="str">
        <x:v>FAST RULE
• 7–8 same URLs = strong overlap
• 3–6 same URLs = gray zone; discuss
• 0–2 same URLs = likely different intent
Use 5–8 organic results. Ignore ads, map packs, and duplicate sitelinks.</x:v>
      </x:c>
      <x:c r="E306" s="72"/>
      <x:c r="F306" s="72"/>
      <x:c r="G306" s="72"/>
      <x:c r="H306" s="72"/>
    </x:row>
    <x:row r="307">
      <x:c r="A307" s="8" t="str">
        <x:v>Same exact URL count</x:v>
      </x:c>
      <x:c r="B307" t="n">
        <x:f>SUMPRODUCT(--(B296:B303&lt;&gt;""),--(COUNTIF(F296:F303,B296:B303)&gt;0))</x:f>
        <x:v>0</x:v>
      </x:c>
      <x:c r="D307" s="72"/>
      <x:c r="E307" s="72"/>
      <x:c r="F307" s="72"/>
      <x:c r="G307" s="72"/>
      <x:c r="H307" s="72"/>
    </x:row>
    <x:row r="308">
      <x:c r="A308" s="8" t="str">
        <x:v>Same business/domain count</x:v>
      </x:c>
      <x:c r="B308" t="n">
        <x:f>SUMPRODUCT(--(C296:C303&lt;&gt;""),--(COUNTIF(G296:G303,C296:C303)&gt;0))</x:f>
        <x:v>0</x:v>
      </x:c>
      <x:c r="D308" s="72"/>
      <x:c r="E308" s="72"/>
      <x:c r="F308" s="72"/>
      <x:c r="G308" s="72"/>
      <x:c r="H308" s="72"/>
    </x:row>
    <x:row r="309">
      <x:c r="A309" s="8" t="str">
        <x:v>Same page-type count</x:v>
      </x:c>
      <x:c r="B309" t="n">
        <x:f>SUMPRODUCT(--(D296:D303&lt;&gt;""),--(COUNTIF(H296:H303,D296:D303)&gt;0))</x:f>
        <x:v>0</x:v>
      </x:c>
      <x:c r="D309" s="72"/>
      <x:c r="E309" s="72"/>
      <x:c r="F309" s="72"/>
      <x:c r="G309" s="72"/>
      <x:c r="H309" s="72"/>
    </x:row>
    <x:row r="310">
      <x:c r="A310" s="8" t="str">
        <x:v>Quick interpretation</x:v>
      </x:c>
      <x:c r="B310" s="67" t="str">
        <x:f>IF(B307&gt;=7,"Strong overlap: very likely the same search intent.",IF(B307&gt;=3,"GRAY ZONE: 3–6 shared URLs. Review page types, domains, and client priorities.",IF(B308&gt;=4,"Low exact overlap, but many of the same businesses rank with different pages.","Low overlap: likely a meaningfully different intent.")))</x:f>
        <x:v>Low overlap: likely a meaningfully different intent.</x:v>
      </x:c>
      <x:c r="C310" s="67"/>
      <x:c r="D310" s="67"/>
      <x:c r="E310" s="67"/>
      <x:c r="F310" s="67"/>
      <x:c r="G310" s="67"/>
      <x:c r="H310" s="67"/>
    </x:row>
    <x:row r="311">
      <x:c r="A311" s="8" t="str">
        <x:v>Recommended action</x:v>
      </x:c>
      <x:c r="B311" s="67" t="str">
        <x:f>IF(B307&gt;=7,"Keep these keywords in the same cluster/page.",IF(B307&gt;=3,"Discuss on the client call before deciding whether to split.",IF(B308&gt;=4,"Inspect which pages each business uses before splitting.","Consider separate clusters/pages if page types also differ.")))</x:f>
        <x:v>Consider separate clusters/pages if page types also differ.</x:v>
      </x:c>
      <x:c r="C311" s="67"/>
      <x:c r="D311" s="67"/>
      <x:c r="E311" s="67"/>
      <x:c r="F311" s="67"/>
      <x:c r="G311" s="67"/>
      <x:c r="H311" s="67"/>
    </x:row>
    <x:row r="312" ht="8" customHeight="1"/>
    <x:row r="313" ht="26" customHeight="1">
      <x:c r="A313" s="4" t="str">
        <x:v>SERP Overlap Quick Check — Comparison 14</x:v>
      </x:c>
      <x:c r="B313" s="4"/>
      <x:c r="C313" s="4"/>
      <x:c r="D313" s="4"/>
      <x:c r="E313" s="4"/>
      <x:c r="F313" s="4"/>
      <x:c r="G313" s="4"/>
      <x:c r="H313" s="4"/>
    </x:row>
    <x:row r="314">
      <x:c r="A314" s="8" t="str">
        <x:v>Cluster / Topic</x:v>
      </x:c>
      <x:c r="B314" s="14"/>
      <x:c r="C314" s="14"/>
      <x:c r="D314" s="14"/>
      <x:c r="E314" s="14"/>
      <x:c r="F314" s="14"/>
      <x:c r="G314" s="14"/>
      <x:c r="H314" s="14"/>
    </x:row>
    <x:row r="315">
      <x:c r="A315" s="8" t="str">
        <x:v>Keyword A</x:v>
      </x:c>
      <x:c r="B315" s="14"/>
      <x:c r="C315" s="14"/>
      <x:c r="D315" s="14"/>
      <x:c r="E315" s="14"/>
      <x:c r="F315" s="14"/>
      <x:c r="G315" s="14"/>
      <x:c r="H315" s="14"/>
    </x:row>
    <x:row r="316">
      <x:c r="A316" s="8" t="str">
        <x:v>Keyword B</x:v>
      </x:c>
      <x:c r="B316" s="14"/>
      <x:c r="C316" s="14"/>
      <x:c r="D316" s="14"/>
      <x:c r="E316" s="14"/>
      <x:c r="F316" s="14"/>
      <x:c r="G316" s="14"/>
      <x:c r="H316" s="14"/>
    </x:row>
    <x:row r="317">
      <x:c r="A317" s="8" t="str">
        <x:v>Decision</x:v>
      </x:c>
      <x:c r="B317" s="15" t="str">
        <x:f>B335</x:f>
        <x:v>Consider separate clusters/pages if page types also differ.</x:v>
      </x:c>
      <x:c r="C317" s="15"/>
      <x:c r="D317" s="15"/>
      <x:c r="E317" s="15"/>
      <x:c r="F317" s="15"/>
      <x:c r="G317" s="15"/>
      <x:c r="H317" s="15"/>
    </x:row>
    <x:row r="319">
      <x:c r="A319" s="22" t="str">
        <x:v>Rank</x:v>
      </x:c>
      <x:c r="B319" s="22" t="str">
        <x:v>Keyword A URL</x:v>
      </x:c>
      <x:c r="C319" s="22" t="str">
        <x:v>Keyword A Business/Domain</x:v>
      </x:c>
      <x:c r="D319" s="22" t="str">
        <x:v>Page Type</x:v>
      </x:c>
      <x:c r="E319" s="22" t="str">
        <x:v>Rank</x:v>
      </x:c>
      <x:c r="F319" s="22" t="str">
        <x:v>Keyword B URL</x:v>
      </x:c>
      <x:c r="G319" s="22" t="str">
        <x:v>Keyword B Business/Domain</x:v>
      </x:c>
      <x:c r="H319" s="22" t="str">
        <x:v>Page Type</x:v>
      </x:c>
    </x:row>
    <x:row r="320">
      <x:c r="A320" s="45" t="n">
        <x:v>1</x:v>
      </x:c>
      <x:c r="B320" s="29"/>
      <x:c r="C320" s="29"/>
      <x:c r="D320" s="29"/>
      <x:c r="E320" s="51" t="n">
        <x:v>1</x:v>
      </x:c>
      <x:c r="F320" s="29"/>
      <x:c r="G320" s="29"/>
      <x:c r="H320" s="30"/>
    </x:row>
    <x:row r="321">
      <x:c r="A321" s="46" t="n">
        <x:v>2</x:v>
      </x:c>
      <x:c r="B321" s="32"/>
      <x:c r="C321" s="32"/>
      <x:c r="D321" s="32"/>
      <x:c r="E321" s="52" t="n">
        <x:v>2</x:v>
      </x:c>
      <x:c r="F321" s="32"/>
      <x:c r="G321" s="32"/>
      <x:c r="H321" s="33"/>
    </x:row>
    <x:row r="322">
      <x:c r="A322" s="46" t="n">
        <x:v>3</x:v>
      </x:c>
      <x:c r="B322" s="32"/>
      <x:c r="C322" s="32"/>
      <x:c r="D322" s="32"/>
      <x:c r="E322" s="52" t="n">
        <x:v>3</x:v>
      </x:c>
      <x:c r="F322" s="32"/>
      <x:c r="G322" s="32"/>
      <x:c r="H322" s="33"/>
    </x:row>
    <x:row r="323">
      <x:c r="A323" s="46" t="n">
        <x:v>4</x:v>
      </x:c>
      <x:c r="B323" s="32"/>
      <x:c r="C323" s="32"/>
      <x:c r="D323" s="32"/>
      <x:c r="E323" s="52" t="n">
        <x:v>4</x:v>
      </x:c>
      <x:c r="F323" s="32"/>
      <x:c r="G323" s="32"/>
      <x:c r="H323" s="33"/>
    </x:row>
    <x:row r="324">
      <x:c r="A324" s="46" t="n">
        <x:v>5</x:v>
      </x:c>
      <x:c r="B324" s="32"/>
      <x:c r="C324" s="32"/>
      <x:c r="D324" s="32"/>
      <x:c r="E324" s="52" t="n">
        <x:v>5</x:v>
      </x:c>
      <x:c r="F324" s="32"/>
      <x:c r="G324" s="32"/>
      <x:c r="H324" s="33"/>
    </x:row>
    <x:row r="325">
      <x:c r="A325" s="46" t="n">
        <x:v>6</x:v>
      </x:c>
      <x:c r="B325" s="32"/>
      <x:c r="C325" s="32"/>
      <x:c r="D325" s="32"/>
      <x:c r="E325" s="52" t="n">
        <x:v>6</x:v>
      </x:c>
      <x:c r="F325" s="32"/>
      <x:c r="G325" s="32"/>
      <x:c r="H325" s="33"/>
    </x:row>
    <x:row r="326">
      <x:c r="A326" s="46" t="n">
        <x:v>7</x:v>
      </x:c>
      <x:c r="B326" s="32"/>
      <x:c r="C326" s="32"/>
      <x:c r="D326" s="32"/>
      <x:c r="E326" s="52" t="n">
        <x:v>7</x:v>
      </x:c>
      <x:c r="F326" s="32"/>
      <x:c r="G326" s="32"/>
      <x:c r="H326" s="33"/>
    </x:row>
    <x:row r="327">
      <x:c r="A327" s="47" t="n">
        <x:v>8</x:v>
      </x:c>
      <x:c r="B327" s="35"/>
      <x:c r="C327" s="35"/>
      <x:c r="D327" s="35"/>
      <x:c r="E327" s="53" t="n">
        <x:v>8</x:v>
      </x:c>
      <x:c r="F327" s="35"/>
      <x:c r="G327" s="35"/>
      <x:c r="H327" s="36"/>
    </x:row>
    <x:row r="328">
      <x:c r="A328" s="57" t="str">
        <x:v>MATCH HIGHLIGHTS</x:v>
      </x:c>
      <x:c r="B328" s="57"/>
    </x:row>
    <x:row r="329">
      <x:c r="A329" s="60" t="str">
        <x:v>Exact URL</x:v>
      </x:c>
      <x:c r="B329" s="64" t="str">
        <x:v>Same business/domain</x:v>
      </x:c>
    </x:row>
    <x:row r="330">
      <x:c r="A330" s="8" t="str">
        <x:v>Overlap Signal</x:v>
      </x:c>
      <x:c r="D330" s="72" t="str">
        <x:v>FAST RULE
• 7–8 same URLs = strong overlap
• 3–6 same URLs = gray zone; discuss
• 0–2 same URLs = likely different intent
Use 5–8 organic results. Ignore ads, map packs, and duplicate sitelinks.</x:v>
      </x:c>
      <x:c r="E330" s="72"/>
      <x:c r="F330" s="72"/>
      <x:c r="G330" s="72"/>
      <x:c r="H330" s="72"/>
    </x:row>
    <x:row r="331">
      <x:c r="A331" s="8" t="str">
        <x:v>Same exact URL count</x:v>
      </x:c>
      <x:c r="B331" t="n">
        <x:f>SUMPRODUCT(--(B320:B327&lt;&gt;""),--(COUNTIF(F320:F327,B320:B327)&gt;0))</x:f>
        <x:v>0</x:v>
      </x:c>
      <x:c r="D331" s="72"/>
      <x:c r="E331" s="72"/>
      <x:c r="F331" s="72"/>
      <x:c r="G331" s="72"/>
      <x:c r="H331" s="72"/>
    </x:row>
    <x:row r="332">
      <x:c r="A332" s="8" t="str">
        <x:v>Same business/domain count</x:v>
      </x:c>
      <x:c r="B332" t="n">
        <x:f>SUMPRODUCT(--(C320:C327&lt;&gt;""),--(COUNTIF(G320:G327,C320:C327)&gt;0))</x:f>
        <x:v>0</x:v>
      </x:c>
      <x:c r="D332" s="72"/>
      <x:c r="E332" s="72"/>
      <x:c r="F332" s="72"/>
      <x:c r="G332" s="72"/>
      <x:c r="H332" s="72"/>
    </x:row>
    <x:row r="333">
      <x:c r="A333" s="8" t="str">
        <x:v>Same page-type count</x:v>
      </x:c>
      <x:c r="B333" t="n">
        <x:f>SUMPRODUCT(--(D320:D327&lt;&gt;""),--(COUNTIF(H320:H327,D320:D327)&gt;0))</x:f>
        <x:v>0</x:v>
      </x:c>
      <x:c r="D333" s="72"/>
      <x:c r="E333" s="72"/>
      <x:c r="F333" s="72"/>
      <x:c r="G333" s="72"/>
      <x:c r="H333" s="72"/>
    </x:row>
    <x:row r="334">
      <x:c r="A334" s="8" t="str">
        <x:v>Quick interpretation</x:v>
      </x:c>
      <x:c r="B334" s="67" t="str">
        <x:f>IF(B331&gt;=7,"Strong overlap: very likely the same search intent.",IF(B331&gt;=3,"GRAY ZONE: 3–6 shared URLs. Review page types, domains, and client priorities.",IF(B332&gt;=4,"Low exact overlap, but many of the same businesses rank with different pages.","Low overlap: likely a meaningfully different intent.")))</x:f>
        <x:v>Low overlap: likely a meaningfully different intent.</x:v>
      </x:c>
      <x:c r="C334" s="67"/>
      <x:c r="D334" s="67"/>
      <x:c r="E334" s="67"/>
      <x:c r="F334" s="67"/>
      <x:c r="G334" s="67"/>
      <x:c r="H334" s="67"/>
    </x:row>
    <x:row r="335">
      <x:c r="A335" s="8" t="str">
        <x:v>Recommended action</x:v>
      </x:c>
      <x:c r="B335" s="67" t="str">
        <x:f>IF(B331&gt;=7,"Keep these keywords in the same cluster/page.",IF(B331&gt;=3,"Discuss on the client call before deciding whether to split.",IF(B332&gt;=4,"Inspect which pages each business uses before splitting.","Consider separate clusters/pages if page types also differ.")))</x:f>
        <x:v>Consider separate clusters/pages if page types also differ.</x:v>
      </x:c>
      <x:c r="C335" s="67"/>
      <x:c r="D335" s="67"/>
      <x:c r="E335" s="67"/>
      <x:c r="F335" s="67"/>
      <x:c r="G335" s="67"/>
      <x:c r="H335" s="67"/>
    </x:row>
    <x:row r="336" ht="8" customHeight="1"/>
    <x:row r="337" ht="26" customHeight="1">
      <x:c r="A337" s="4" t="str">
        <x:v>SERP Overlap Quick Check — Comparison 15</x:v>
      </x:c>
      <x:c r="B337" s="4"/>
      <x:c r="C337" s="4"/>
      <x:c r="D337" s="4"/>
      <x:c r="E337" s="4"/>
      <x:c r="F337" s="4"/>
      <x:c r="G337" s="4"/>
      <x:c r="H337" s="4"/>
    </x:row>
    <x:row r="338">
      <x:c r="A338" s="8" t="str">
        <x:v>Cluster / Topic</x:v>
      </x:c>
      <x:c r="B338" s="14"/>
      <x:c r="C338" s="14"/>
      <x:c r="D338" s="14"/>
      <x:c r="E338" s="14"/>
      <x:c r="F338" s="14"/>
      <x:c r="G338" s="14"/>
      <x:c r="H338" s="14"/>
    </x:row>
    <x:row r="339">
      <x:c r="A339" s="8" t="str">
        <x:v>Keyword A</x:v>
      </x:c>
      <x:c r="B339" s="14"/>
      <x:c r="C339" s="14"/>
      <x:c r="D339" s="14"/>
      <x:c r="E339" s="14"/>
      <x:c r="F339" s="14"/>
      <x:c r="G339" s="14"/>
      <x:c r="H339" s="14"/>
    </x:row>
    <x:row r="340">
      <x:c r="A340" s="8" t="str">
        <x:v>Keyword B</x:v>
      </x:c>
      <x:c r="B340" s="14"/>
      <x:c r="C340" s="14"/>
      <x:c r="D340" s="14"/>
      <x:c r="E340" s="14"/>
      <x:c r="F340" s="14"/>
      <x:c r="G340" s="14"/>
      <x:c r="H340" s="14"/>
    </x:row>
    <x:row r="341">
      <x:c r="A341" s="8" t="str">
        <x:v>Decision</x:v>
      </x:c>
      <x:c r="B341" s="15" t="str">
        <x:f>B359</x:f>
        <x:v>Consider separate clusters/pages if page types also differ.</x:v>
      </x:c>
      <x:c r="C341" s="15"/>
      <x:c r="D341" s="15"/>
      <x:c r="E341" s="15"/>
      <x:c r="F341" s="15"/>
      <x:c r="G341" s="15"/>
      <x:c r="H341" s="15"/>
    </x:row>
    <x:row r="343">
      <x:c r="A343" s="22" t="str">
        <x:v>Rank</x:v>
      </x:c>
      <x:c r="B343" s="22" t="str">
        <x:v>Keyword A URL</x:v>
      </x:c>
      <x:c r="C343" s="22" t="str">
        <x:v>Keyword A Business/Domain</x:v>
      </x:c>
      <x:c r="D343" s="22" t="str">
        <x:v>Page Type</x:v>
      </x:c>
      <x:c r="E343" s="22" t="str">
        <x:v>Rank</x:v>
      </x:c>
      <x:c r="F343" s="22" t="str">
        <x:v>Keyword B URL</x:v>
      </x:c>
      <x:c r="G343" s="22" t="str">
        <x:v>Keyword B Business/Domain</x:v>
      </x:c>
      <x:c r="H343" s="22" t="str">
        <x:v>Page Type</x:v>
      </x:c>
    </x:row>
    <x:row r="344">
      <x:c r="A344" s="45" t="n">
        <x:v>1</x:v>
      </x:c>
      <x:c r="B344" s="29"/>
      <x:c r="C344" s="29"/>
      <x:c r="D344" s="29"/>
      <x:c r="E344" s="51" t="n">
        <x:v>1</x:v>
      </x:c>
      <x:c r="F344" s="29"/>
      <x:c r="G344" s="29"/>
      <x:c r="H344" s="30"/>
    </x:row>
    <x:row r="345">
      <x:c r="A345" s="46" t="n">
        <x:v>2</x:v>
      </x:c>
      <x:c r="B345" s="32"/>
      <x:c r="C345" s="32"/>
      <x:c r="D345" s="32"/>
      <x:c r="E345" s="52" t="n">
        <x:v>2</x:v>
      </x:c>
      <x:c r="F345" s="32"/>
      <x:c r="G345" s="32"/>
      <x:c r="H345" s="33"/>
    </x:row>
    <x:row r="346">
      <x:c r="A346" s="46" t="n">
        <x:v>3</x:v>
      </x:c>
      <x:c r="B346" s="32"/>
      <x:c r="C346" s="32"/>
      <x:c r="D346" s="32"/>
      <x:c r="E346" s="52" t="n">
        <x:v>3</x:v>
      </x:c>
      <x:c r="F346" s="32"/>
      <x:c r="G346" s="32"/>
      <x:c r="H346" s="33"/>
    </x:row>
    <x:row r="347">
      <x:c r="A347" s="46" t="n">
        <x:v>4</x:v>
      </x:c>
      <x:c r="B347" s="32"/>
      <x:c r="C347" s="32"/>
      <x:c r="D347" s="32"/>
      <x:c r="E347" s="52" t="n">
        <x:v>4</x:v>
      </x:c>
      <x:c r="F347" s="32"/>
      <x:c r="G347" s="32"/>
      <x:c r="H347" s="33"/>
    </x:row>
    <x:row r="348">
      <x:c r="A348" s="46" t="n">
        <x:v>5</x:v>
      </x:c>
      <x:c r="B348" s="32"/>
      <x:c r="C348" s="32"/>
      <x:c r="D348" s="32"/>
      <x:c r="E348" s="52" t="n">
        <x:v>5</x:v>
      </x:c>
      <x:c r="F348" s="32"/>
      <x:c r="G348" s="32"/>
      <x:c r="H348" s="33"/>
    </x:row>
    <x:row r="349">
      <x:c r="A349" s="46" t="n">
        <x:v>6</x:v>
      </x:c>
      <x:c r="B349" s="32"/>
      <x:c r="C349" s="32"/>
      <x:c r="D349" s="32"/>
      <x:c r="E349" s="52" t="n">
        <x:v>6</x:v>
      </x:c>
      <x:c r="F349" s="32"/>
      <x:c r="G349" s="32"/>
      <x:c r="H349" s="33"/>
    </x:row>
    <x:row r="350">
      <x:c r="A350" s="46" t="n">
        <x:v>7</x:v>
      </x:c>
      <x:c r="B350" s="32"/>
      <x:c r="C350" s="32"/>
      <x:c r="D350" s="32"/>
      <x:c r="E350" s="52" t="n">
        <x:v>7</x:v>
      </x:c>
      <x:c r="F350" s="32"/>
      <x:c r="G350" s="32"/>
      <x:c r="H350" s="33"/>
    </x:row>
    <x:row r="351">
      <x:c r="A351" s="47" t="n">
        <x:v>8</x:v>
      </x:c>
      <x:c r="B351" s="35"/>
      <x:c r="C351" s="35"/>
      <x:c r="D351" s="35"/>
      <x:c r="E351" s="53" t="n">
        <x:v>8</x:v>
      </x:c>
      <x:c r="F351" s="35"/>
      <x:c r="G351" s="35"/>
      <x:c r="H351" s="36"/>
    </x:row>
    <x:row r="352">
      <x:c r="A352" s="57" t="str">
        <x:v>MATCH HIGHLIGHTS</x:v>
      </x:c>
      <x:c r="B352" s="57"/>
    </x:row>
    <x:row r="353">
      <x:c r="A353" s="60" t="str">
        <x:v>Exact URL</x:v>
      </x:c>
      <x:c r="B353" s="64" t="str">
        <x:v>Same business/domain</x:v>
      </x:c>
    </x:row>
    <x:row r="354">
      <x:c r="A354" s="8" t="str">
        <x:v>Overlap Signal</x:v>
      </x:c>
      <x:c r="D354" s="72" t="str">
        <x:v>FAST RULE
• 7–8 same URLs = strong overlap
• 3–6 same URLs = gray zone; discuss
• 0–2 same URLs = likely different intent
Use 5–8 organic results. Ignore ads, map packs, and duplicate sitelinks.</x:v>
      </x:c>
      <x:c r="E354" s="72"/>
      <x:c r="F354" s="72"/>
      <x:c r="G354" s="72"/>
      <x:c r="H354" s="72"/>
    </x:row>
    <x:row r="355">
      <x:c r="A355" s="8" t="str">
        <x:v>Same exact URL count</x:v>
      </x:c>
      <x:c r="B355" t="n">
        <x:f>SUMPRODUCT(--(B344:B351&lt;&gt;""),--(COUNTIF(F344:F351,B344:B351)&gt;0))</x:f>
        <x:v>0</x:v>
      </x:c>
      <x:c r="D355" s="72"/>
      <x:c r="E355" s="72"/>
      <x:c r="F355" s="72"/>
      <x:c r="G355" s="72"/>
      <x:c r="H355" s="72"/>
    </x:row>
    <x:row r="356">
      <x:c r="A356" s="8" t="str">
        <x:v>Same business/domain count</x:v>
      </x:c>
      <x:c r="B356" t="n">
        <x:f>SUMPRODUCT(--(C344:C351&lt;&gt;""),--(COUNTIF(G344:G351,C344:C351)&gt;0))</x:f>
        <x:v>0</x:v>
      </x:c>
      <x:c r="D356" s="72"/>
      <x:c r="E356" s="72"/>
      <x:c r="F356" s="72"/>
      <x:c r="G356" s="72"/>
      <x:c r="H356" s="72"/>
    </x:row>
    <x:row r="357">
      <x:c r="A357" s="8" t="str">
        <x:v>Same page-type count</x:v>
      </x:c>
      <x:c r="B357" t="n">
        <x:f>SUMPRODUCT(--(D344:D351&lt;&gt;""),--(COUNTIF(H344:H351,D344:D351)&gt;0))</x:f>
        <x:v>0</x:v>
      </x:c>
      <x:c r="D357" s="72"/>
      <x:c r="E357" s="72"/>
      <x:c r="F357" s="72"/>
      <x:c r="G357" s="72"/>
      <x:c r="H357" s="72"/>
    </x:row>
    <x:row r="358">
      <x:c r="A358" s="8" t="str">
        <x:v>Quick interpretation</x:v>
      </x:c>
      <x:c r="B358" s="67" t="str">
        <x:f>IF(B355&gt;=7,"Strong overlap: very likely the same search intent.",IF(B355&gt;=3,"GRAY ZONE: 3–6 shared URLs. Review page types, domains, and client priorities.",IF(B356&gt;=4,"Low exact overlap, but many of the same businesses rank with different pages.","Low overlap: likely a meaningfully different intent.")))</x:f>
        <x:v>Low overlap: likely a meaningfully different intent.</x:v>
      </x:c>
      <x:c r="C358" s="67"/>
      <x:c r="D358" s="67"/>
      <x:c r="E358" s="67"/>
      <x:c r="F358" s="67"/>
      <x:c r="G358" s="67"/>
      <x:c r="H358" s="67"/>
    </x:row>
    <x:row r="359">
      <x:c r="A359" s="8" t="str">
        <x:v>Recommended action</x:v>
      </x:c>
      <x:c r="B359" s="67" t="str">
        <x:f>IF(B355&gt;=7,"Keep these keywords in the same cluster/page.",IF(B355&gt;=3,"Discuss on the client call before deciding whether to split.",IF(B356&gt;=4,"Inspect which pages each business uses before splitting.","Consider separate clusters/pages if page types also differ.")))</x:f>
        <x:v>Consider separate clusters/pages if page types also differ.</x:v>
      </x:c>
      <x:c r="C359" s="67"/>
      <x:c r="D359" s="67"/>
      <x:c r="E359" s="67"/>
      <x:c r="F359" s="67"/>
      <x:c r="G359" s="67"/>
      <x:c r="H359" s="67"/>
    </x:row>
    <x:row r="360" ht="8" customHeight="1"/>
    <x:row r="361" ht="26" customHeight="1">
      <x:c r="A361" s="4" t="str">
        <x:v>SERP Overlap Quick Check — Comparison 16</x:v>
      </x:c>
      <x:c r="B361" s="4"/>
      <x:c r="C361" s="4"/>
      <x:c r="D361" s="4"/>
      <x:c r="E361" s="4"/>
      <x:c r="F361" s="4"/>
      <x:c r="G361" s="4"/>
      <x:c r="H361" s="4"/>
    </x:row>
    <x:row r="362">
      <x:c r="A362" s="8" t="str">
        <x:v>Cluster / Topic</x:v>
      </x:c>
      <x:c r="B362" s="14"/>
      <x:c r="C362" s="14"/>
      <x:c r="D362" s="14"/>
      <x:c r="E362" s="14"/>
      <x:c r="F362" s="14"/>
      <x:c r="G362" s="14"/>
      <x:c r="H362" s="14"/>
    </x:row>
    <x:row r="363">
      <x:c r="A363" s="8" t="str">
        <x:v>Keyword A</x:v>
      </x:c>
      <x:c r="B363" s="14"/>
      <x:c r="C363" s="14"/>
      <x:c r="D363" s="14"/>
      <x:c r="E363" s="14"/>
      <x:c r="F363" s="14"/>
      <x:c r="G363" s="14"/>
      <x:c r="H363" s="14"/>
    </x:row>
    <x:row r="364">
      <x:c r="A364" s="8" t="str">
        <x:v>Keyword B</x:v>
      </x:c>
      <x:c r="B364" s="14"/>
      <x:c r="C364" s="14"/>
      <x:c r="D364" s="14"/>
      <x:c r="E364" s="14"/>
      <x:c r="F364" s="14"/>
      <x:c r="G364" s="14"/>
      <x:c r="H364" s="14"/>
    </x:row>
    <x:row r="365">
      <x:c r="A365" s="8" t="str">
        <x:v>Decision</x:v>
      </x:c>
      <x:c r="B365" s="15" t="str">
        <x:f>B383</x:f>
        <x:v>Consider separate clusters/pages if page types also differ.</x:v>
      </x:c>
      <x:c r="C365" s="15"/>
      <x:c r="D365" s="15"/>
      <x:c r="E365" s="15"/>
      <x:c r="F365" s="15"/>
      <x:c r="G365" s="15"/>
      <x:c r="H365" s="15"/>
    </x:row>
    <x:row r="367">
      <x:c r="A367" s="22" t="str">
        <x:v>Rank</x:v>
      </x:c>
      <x:c r="B367" s="22" t="str">
        <x:v>Keyword A URL</x:v>
      </x:c>
      <x:c r="C367" s="22" t="str">
        <x:v>Keyword A Business/Domain</x:v>
      </x:c>
      <x:c r="D367" s="22" t="str">
        <x:v>Page Type</x:v>
      </x:c>
      <x:c r="E367" s="22" t="str">
        <x:v>Rank</x:v>
      </x:c>
      <x:c r="F367" s="22" t="str">
        <x:v>Keyword B URL</x:v>
      </x:c>
      <x:c r="G367" s="22" t="str">
        <x:v>Keyword B Business/Domain</x:v>
      </x:c>
      <x:c r="H367" s="22" t="str">
        <x:v>Page Type</x:v>
      </x:c>
    </x:row>
    <x:row r="368">
      <x:c r="A368" s="45" t="n">
        <x:v>1</x:v>
      </x:c>
      <x:c r="B368" s="29"/>
      <x:c r="C368" s="29"/>
      <x:c r="D368" s="29"/>
      <x:c r="E368" s="51" t="n">
        <x:v>1</x:v>
      </x:c>
      <x:c r="F368" s="29"/>
      <x:c r="G368" s="29"/>
      <x:c r="H368" s="30"/>
    </x:row>
    <x:row r="369">
      <x:c r="A369" s="46" t="n">
        <x:v>2</x:v>
      </x:c>
      <x:c r="B369" s="32"/>
      <x:c r="C369" s="32"/>
      <x:c r="D369" s="32"/>
      <x:c r="E369" s="52" t="n">
        <x:v>2</x:v>
      </x:c>
      <x:c r="F369" s="32"/>
      <x:c r="G369" s="32"/>
      <x:c r="H369" s="33"/>
    </x:row>
    <x:row r="370">
      <x:c r="A370" s="46" t="n">
        <x:v>3</x:v>
      </x:c>
      <x:c r="B370" s="32"/>
      <x:c r="C370" s="32"/>
      <x:c r="D370" s="32"/>
      <x:c r="E370" s="52" t="n">
        <x:v>3</x:v>
      </x:c>
      <x:c r="F370" s="32"/>
      <x:c r="G370" s="32"/>
      <x:c r="H370" s="33"/>
    </x:row>
    <x:row r="371">
      <x:c r="A371" s="46" t="n">
        <x:v>4</x:v>
      </x:c>
      <x:c r="B371" s="32"/>
      <x:c r="C371" s="32"/>
      <x:c r="D371" s="32"/>
      <x:c r="E371" s="52" t="n">
        <x:v>4</x:v>
      </x:c>
      <x:c r="F371" s="32"/>
      <x:c r="G371" s="32"/>
      <x:c r="H371" s="33"/>
    </x:row>
    <x:row r="372">
      <x:c r="A372" s="46" t="n">
        <x:v>5</x:v>
      </x:c>
      <x:c r="B372" s="32"/>
      <x:c r="C372" s="32"/>
      <x:c r="D372" s="32"/>
      <x:c r="E372" s="52" t="n">
        <x:v>5</x:v>
      </x:c>
      <x:c r="F372" s="32"/>
      <x:c r="G372" s="32"/>
      <x:c r="H372" s="33"/>
    </x:row>
    <x:row r="373">
      <x:c r="A373" s="46" t="n">
        <x:v>6</x:v>
      </x:c>
      <x:c r="B373" s="32"/>
      <x:c r="C373" s="32"/>
      <x:c r="D373" s="32"/>
      <x:c r="E373" s="52" t="n">
        <x:v>6</x:v>
      </x:c>
      <x:c r="F373" s="32"/>
      <x:c r="G373" s="32"/>
      <x:c r="H373" s="33"/>
    </x:row>
    <x:row r="374">
      <x:c r="A374" s="46" t="n">
        <x:v>7</x:v>
      </x:c>
      <x:c r="B374" s="32"/>
      <x:c r="C374" s="32"/>
      <x:c r="D374" s="32"/>
      <x:c r="E374" s="52" t="n">
        <x:v>7</x:v>
      </x:c>
      <x:c r="F374" s="32"/>
      <x:c r="G374" s="32"/>
      <x:c r="H374" s="33"/>
    </x:row>
    <x:row r="375">
      <x:c r="A375" s="47" t="n">
        <x:v>8</x:v>
      </x:c>
      <x:c r="B375" s="35"/>
      <x:c r="C375" s="35"/>
      <x:c r="D375" s="35"/>
      <x:c r="E375" s="53" t="n">
        <x:v>8</x:v>
      </x:c>
      <x:c r="F375" s="35"/>
      <x:c r="G375" s="35"/>
      <x:c r="H375" s="36"/>
    </x:row>
    <x:row r="376">
      <x:c r="A376" s="57" t="str">
        <x:v>MATCH HIGHLIGHTS</x:v>
      </x:c>
      <x:c r="B376" s="57"/>
    </x:row>
    <x:row r="377">
      <x:c r="A377" s="60" t="str">
        <x:v>Exact URL</x:v>
      </x:c>
      <x:c r="B377" s="64" t="str">
        <x:v>Same business/domain</x:v>
      </x:c>
    </x:row>
    <x:row r="378">
      <x:c r="A378" s="8" t="str">
        <x:v>Overlap Signal</x:v>
      </x:c>
      <x:c r="D378" s="72" t="str">
        <x:v>FAST RULE
• 7–8 same URLs = strong overlap
• 3–6 same URLs = gray zone; discuss
• 0–2 same URLs = likely different intent
Use 5–8 organic results. Ignore ads, map packs, and duplicate sitelinks.</x:v>
      </x:c>
      <x:c r="E378" s="72"/>
      <x:c r="F378" s="72"/>
      <x:c r="G378" s="72"/>
      <x:c r="H378" s="72"/>
    </x:row>
    <x:row r="379">
      <x:c r="A379" s="8" t="str">
        <x:v>Same exact URL count</x:v>
      </x:c>
      <x:c r="B379" t="n">
        <x:f>SUMPRODUCT(--(B368:B375&lt;&gt;""),--(COUNTIF(F368:F375,B368:B375)&gt;0))</x:f>
        <x:v>0</x:v>
      </x:c>
      <x:c r="D379" s="72"/>
      <x:c r="E379" s="72"/>
      <x:c r="F379" s="72"/>
      <x:c r="G379" s="72"/>
      <x:c r="H379" s="72"/>
    </x:row>
    <x:row r="380">
      <x:c r="A380" s="8" t="str">
        <x:v>Same business/domain count</x:v>
      </x:c>
      <x:c r="B380" t="n">
        <x:f>SUMPRODUCT(--(C368:C375&lt;&gt;""),--(COUNTIF(G368:G375,C368:C375)&gt;0))</x:f>
        <x:v>0</x:v>
      </x:c>
      <x:c r="D380" s="72"/>
      <x:c r="E380" s="72"/>
      <x:c r="F380" s="72"/>
      <x:c r="G380" s="72"/>
      <x:c r="H380" s="72"/>
    </x:row>
    <x:row r="381">
      <x:c r="A381" s="8" t="str">
        <x:v>Same page-type count</x:v>
      </x:c>
      <x:c r="B381" t="n">
        <x:f>SUMPRODUCT(--(D368:D375&lt;&gt;""),--(COUNTIF(H368:H375,D368:D375)&gt;0))</x:f>
        <x:v>0</x:v>
      </x:c>
      <x:c r="D381" s="72"/>
      <x:c r="E381" s="72"/>
      <x:c r="F381" s="72"/>
      <x:c r="G381" s="72"/>
      <x:c r="H381" s="72"/>
    </x:row>
    <x:row r="382">
      <x:c r="A382" s="8" t="str">
        <x:v>Quick interpretation</x:v>
      </x:c>
      <x:c r="B382" s="67" t="str">
        <x:f>IF(B379&gt;=7,"Strong overlap: very likely the same search intent.",IF(B379&gt;=3,"GRAY ZONE: 3–6 shared URLs. Review page types, domains, and client priorities.",IF(B380&gt;=4,"Low exact overlap, but many of the same businesses rank with different pages.","Low overlap: likely a meaningfully different intent.")))</x:f>
        <x:v>Low overlap: likely a meaningfully different intent.</x:v>
      </x:c>
      <x:c r="C382" s="67"/>
      <x:c r="D382" s="67"/>
      <x:c r="E382" s="67"/>
      <x:c r="F382" s="67"/>
      <x:c r="G382" s="67"/>
      <x:c r="H382" s="67"/>
    </x:row>
    <x:row r="383">
      <x:c r="A383" s="8" t="str">
        <x:v>Recommended action</x:v>
      </x:c>
      <x:c r="B383" s="67" t="str">
        <x:f>IF(B379&gt;=7,"Keep these keywords in the same cluster/page.",IF(B379&gt;=3,"Discuss on the client call before deciding whether to split.",IF(B380&gt;=4,"Inspect which pages each business uses before splitting.","Consider separate clusters/pages if page types also differ.")))</x:f>
        <x:v>Consider separate clusters/pages if page types also differ.</x:v>
      </x:c>
      <x:c r="C383" s="67"/>
      <x:c r="D383" s="67"/>
      <x:c r="E383" s="67"/>
      <x:c r="F383" s="67"/>
      <x:c r="G383" s="67"/>
      <x:c r="H383" s="67"/>
    </x:row>
    <x:row r="384" ht="8" customHeight="1"/>
    <x:row r="385" ht="26" customHeight="1">
      <x:c r="A385" s="4" t="str">
        <x:v>SERP Overlap Quick Check — Comparison 17</x:v>
      </x:c>
      <x:c r="B385" s="4"/>
      <x:c r="C385" s="4"/>
      <x:c r="D385" s="4"/>
      <x:c r="E385" s="4"/>
      <x:c r="F385" s="4"/>
      <x:c r="G385" s="4"/>
      <x:c r="H385" s="4"/>
    </x:row>
    <x:row r="386">
      <x:c r="A386" s="8" t="str">
        <x:v>Cluster / Topic</x:v>
      </x:c>
      <x:c r="B386" s="14"/>
      <x:c r="C386" s="14"/>
      <x:c r="D386" s="14"/>
      <x:c r="E386" s="14"/>
      <x:c r="F386" s="14"/>
      <x:c r="G386" s="14"/>
      <x:c r="H386" s="14"/>
    </x:row>
    <x:row r="387">
      <x:c r="A387" s="8" t="str">
        <x:v>Keyword A</x:v>
      </x:c>
      <x:c r="B387" s="14"/>
      <x:c r="C387" s="14"/>
      <x:c r="D387" s="14"/>
      <x:c r="E387" s="14"/>
      <x:c r="F387" s="14"/>
      <x:c r="G387" s="14"/>
      <x:c r="H387" s="14"/>
    </x:row>
    <x:row r="388">
      <x:c r="A388" s="8" t="str">
        <x:v>Keyword B</x:v>
      </x:c>
      <x:c r="B388" s="14"/>
      <x:c r="C388" s="14"/>
      <x:c r="D388" s="14"/>
      <x:c r="E388" s="14"/>
      <x:c r="F388" s="14"/>
      <x:c r="G388" s="14"/>
      <x:c r="H388" s="14"/>
    </x:row>
    <x:row r="389">
      <x:c r="A389" s="8" t="str">
        <x:v>Decision</x:v>
      </x:c>
      <x:c r="B389" s="15" t="str">
        <x:f>B407</x:f>
        <x:v>Consider separate clusters/pages if page types also differ.</x:v>
      </x:c>
      <x:c r="C389" s="15"/>
      <x:c r="D389" s="15"/>
      <x:c r="E389" s="15"/>
      <x:c r="F389" s="15"/>
      <x:c r="G389" s="15"/>
      <x:c r="H389" s="15"/>
    </x:row>
    <x:row r="391">
      <x:c r="A391" s="22" t="str">
        <x:v>Rank</x:v>
      </x:c>
      <x:c r="B391" s="22" t="str">
        <x:v>Keyword A URL</x:v>
      </x:c>
      <x:c r="C391" s="22" t="str">
        <x:v>Keyword A Business/Domain</x:v>
      </x:c>
      <x:c r="D391" s="22" t="str">
        <x:v>Page Type</x:v>
      </x:c>
      <x:c r="E391" s="22" t="str">
        <x:v>Rank</x:v>
      </x:c>
      <x:c r="F391" s="22" t="str">
        <x:v>Keyword B URL</x:v>
      </x:c>
      <x:c r="G391" s="22" t="str">
        <x:v>Keyword B Business/Domain</x:v>
      </x:c>
      <x:c r="H391" s="22" t="str">
        <x:v>Page Type</x:v>
      </x:c>
    </x:row>
    <x:row r="392">
      <x:c r="A392" s="45" t="n">
        <x:v>1</x:v>
      </x:c>
      <x:c r="B392" s="29"/>
      <x:c r="C392" s="29"/>
      <x:c r="D392" s="29"/>
      <x:c r="E392" s="51" t="n">
        <x:v>1</x:v>
      </x:c>
      <x:c r="F392" s="29"/>
      <x:c r="G392" s="29"/>
      <x:c r="H392" s="30"/>
    </x:row>
    <x:row r="393">
      <x:c r="A393" s="46" t="n">
        <x:v>2</x:v>
      </x:c>
      <x:c r="B393" s="32"/>
      <x:c r="C393" s="32"/>
      <x:c r="D393" s="32"/>
      <x:c r="E393" s="52" t="n">
        <x:v>2</x:v>
      </x:c>
      <x:c r="F393" s="32"/>
      <x:c r="G393" s="32"/>
      <x:c r="H393" s="33"/>
    </x:row>
    <x:row r="394">
      <x:c r="A394" s="46" t="n">
        <x:v>3</x:v>
      </x:c>
      <x:c r="B394" s="32"/>
      <x:c r="C394" s="32"/>
      <x:c r="D394" s="32"/>
      <x:c r="E394" s="52" t="n">
        <x:v>3</x:v>
      </x:c>
      <x:c r="F394" s="32"/>
      <x:c r="G394" s="32"/>
      <x:c r="H394" s="33"/>
    </x:row>
    <x:row r="395">
      <x:c r="A395" s="46" t="n">
        <x:v>4</x:v>
      </x:c>
      <x:c r="B395" s="32"/>
      <x:c r="C395" s="32"/>
      <x:c r="D395" s="32"/>
      <x:c r="E395" s="52" t="n">
        <x:v>4</x:v>
      </x:c>
      <x:c r="F395" s="32"/>
      <x:c r="G395" s="32"/>
      <x:c r="H395" s="33"/>
    </x:row>
    <x:row r="396">
      <x:c r="A396" s="46" t="n">
        <x:v>5</x:v>
      </x:c>
      <x:c r="B396" s="32"/>
      <x:c r="C396" s="32"/>
      <x:c r="D396" s="32"/>
      <x:c r="E396" s="52" t="n">
        <x:v>5</x:v>
      </x:c>
      <x:c r="F396" s="32"/>
      <x:c r="G396" s="32"/>
      <x:c r="H396" s="33"/>
    </x:row>
    <x:row r="397">
      <x:c r="A397" s="46" t="n">
        <x:v>6</x:v>
      </x:c>
      <x:c r="B397" s="32"/>
      <x:c r="C397" s="32"/>
      <x:c r="D397" s="32"/>
      <x:c r="E397" s="52" t="n">
        <x:v>6</x:v>
      </x:c>
      <x:c r="F397" s="32"/>
      <x:c r="G397" s="32"/>
      <x:c r="H397" s="33"/>
    </x:row>
    <x:row r="398">
      <x:c r="A398" s="46" t="n">
        <x:v>7</x:v>
      </x:c>
      <x:c r="B398" s="32"/>
      <x:c r="C398" s="32"/>
      <x:c r="D398" s="32"/>
      <x:c r="E398" s="52" t="n">
        <x:v>7</x:v>
      </x:c>
      <x:c r="F398" s="32"/>
      <x:c r="G398" s="32"/>
      <x:c r="H398" s="33"/>
    </x:row>
    <x:row r="399">
      <x:c r="A399" s="47" t="n">
        <x:v>8</x:v>
      </x:c>
      <x:c r="B399" s="35"/>
      <x:c r="C399" s="35"/>
      <x:c r="D399" s="35"/>
      <x:c r="E399" s="53" t="n">
        <x:v>8</x:v>
      </x:c>
      <x:c r="F399" s="35"/>
      <x:c r="G399" s="35"/>
      <x:c r="H399" s="36"/>
    </x:row>
    <x:row r="400">
      <x:c r="A400" s="57" t="str">
        <x:v>MATCH HIGHLIGHTS</x:v>
      </x:c>
      <x:c r="B400" s="57"/>
    </x:row>
    <x:row r="401">
      <x:c r="A401" s="60" t="str">
        <x:v>Exact URL</x:v>
      </x:c>
      <x:c r="B401" s="64" t="str">
        <x:v>Same business/domain</x:v>
      </x:c>
    </x:row>
    <x:row r="402">
      <x:c r="A402" s="8" t="str">
        <x:v>Overlap Signal</x:v>
      </x:c>
      <x:c r="D402" s="72" t="str">
        <x:v>FAST RULE
• 7–8 same URLs = strong overlap
• 3–6 same URLs = gray zone; discuss
• 0–2 same URLs = likely different intent
Use 5–8 organic results. Ignore ads, map packs, and duplicate sitelinks.</x:v>
      </x:c>
      <x:c r="E402" s="72"/>
      <x:c r="F402" s="72"/>
      <x:c r="G402" s="72"/>
      <x:c r="H402" s="72"/>
    </x:row>
    <x:row r="403">
      <x:c r="A403" s="8" t="str">
        <x:v>Same exact URL count</x:v>
      </x:c>
      <x:c r="B403" t="n">
        <x:f>SUMPRODUCT(--(B392:B399&lt;&gt;""),--(COUNTIF(F392:F399,B392:B399)&gt;0))</x:f>
        <x:v>0</x:v>
      </x:c>
      <x:c r="D403" s="72"/>
      <x:c r="E403" s="72"/>
      <x:c r="F403" s="72"/>
      <x:c r="G403" s="72"/>
      <x:c r="H403" s="72"/>
    </x:row>
    <x:row r="404">
      <x:c r="A404" s="8" t="str">
        <x:v>Same business/domain count</x:v>
      </x:c>
      <x:c r="B404" t="n">
        <x:f>SUMPRODUCT(--(C392:C399&lt;&gt;""),--(COUNTIF(G392:G399,C392:C399)&gt;0))</x:f>
        <x:v>0</x:v>
      </x:c>
      <x:c r="D404" s="72"/>
      <x:c r="E404" s="72"/>
      <x:c r="F404" s="72"/>
      <x:c r="G404" s="72"/>
      <x:c r="H404" s="72"/>
    </x:row>
    <x:row r="405">
      <x:c r="A405" s="8" t="str">
        <x:v>Same page-type count</x:v>
      </x:c>
      <x:c r="B405" t="n">
        <x:f>SUMPRODUCT(--(D392:D399&lt;&gt;""),--(COUNTIF(H392:H399,D392:D399)&gt;0))</x:f>
        <x:v>0</x:v>
      </x:c>
      <x:c r="D405" s="72"/>
      <x:c r="E405" s="72"/>
      <x:c r="F405" s="72"/>
      <x:c r="G405" s="72"/>
      <x:c r="H405" s="72"/>
    </x:row>
    <x:row r="406">
      <x:c r="A406" s="8" t="str">
        <x:v>Quick interpretation</x:v>
      </x:c>
      <x:c r="B406" s="67" t="str">
        <x:f>IF(B403&gt;=7,"Strong overlap: very likely the same search intent.",IF(B403&gt;=3,"GRAY ZONE: 3–6 shared URLs. Review page types, domains, and client priorities.",IF(B404&gt;=4,"Low exact overlap, but many of the same businesses rank with different pages.","Low overlap: likely a meaningfully different intent.")))</x:f>
        <x:v>Low overlap: likely a meaningfully different intent.</x:v>
      </x:c>
      <x:c r="C406" s="67"/>
      <x:c r="D406" s="67"/>
      <x:c r="E406" s="67"/>
      <x:c r="F406" s="67"/>
      <x:c r="G406" s="67"/>
      <x:c r="H406" s="67"/>
    </x:row>
    <x:row r="407">
      <x:c r="A407" s="8" t="str">
        <x:v>Recommended action</x:v>
      </x:c>
      <x:c r="B407" s="67" t="str">
        <x:f>IF(B403&gt;=7,"Keep these keywords in the same cluster/page.",IF(B403&gt;=3,"Discuss on the client call before deciding whether to split.",IF(B404&gt;=4,"Inspect which pages each business uses before splitting.","Consider separate clusters/pages if page types also differ.")))</x:f>
        <x:v>Consider separate clusters/pages if page types also differ.</x:v>
      </x:c>
      <x:c r="C407" s="67"/>
      <x:c r="D407" s="67"/>
      <x:c r="E407" s="67"/>
      <x:c r="F407" s="67"/>
      <x:c r="G407" s="67"/>
      <x:c r="H407" s="67"/>
    </x:row>
    <x:row r="408" ht="8" customHeight="1"/>
    <x:row r="409" ht="26" customHeight="1">
      <x:c r="A409" s="4" t="str">
        <x:v>SERP Overlap Quick Check — Comparison 18</x:v>
      </x:c>
      <x:c r="B409" s="4"/>
      <x:c r="C409" s="4"/>
      <x:c r="D409" s="4"/>
      <x:c r="E409" s="4"/>
      <x:c r="F409" s="4"/>
      <x:c r="G409" s="4"/>
      <x:c r="H409" s="4"/>
    </x:row>
    <x:row r="410">
      <x:c r="A410" s="8" t="str">
        <x:v>Cluster / Topic</x:v>
      </x:c>
      <x:c r="B410" s="14"/>
      <x:c r="C410" s="14"/>
      <x:c r="D410" s="14"/>
      <x:c r="E410" s="14"/>
      <x:c r="F410" s="14"/>
      <x:c r="G410" s="14"/>
      <x:c r="H410" s="14"/>
    </x:row>
    <x:row r="411">
      <x:c r="A411" s="8" t="str">
        <x:v>Keyword A</x:v>
      </x:c>
      <x:c r="B411" s="14"/>
      <x:c r="C411" s="14"/>
      <x:c r="D411" s="14"/>
      <x:c r="E411" s="14"/>
      <x:c r="F411" s="14"/>
      <x:c r="G411" s="14"/>
      <x:c r="H411" s="14"/>
    </x:row>
    <x:row r="412">
      <x:c r="A412" s="8" t="str">
        <x:v>Keyword B</x:v>
      </x:c>
      <x:c r="B412" s="14"/>
      <x:c r="C412" s="14"/>
      <x:c r="D412" s="14"/>
      <x:c r="E412" s="14"/>
      <x:c r="F412" s="14"/>
      <x:c r="G412" s="14"/>
      <x:c r="H412" s="14"/>
    </x:row>
    <x:row r="413">
      <x:c r="A413" s="8" t="str">
        <x:v>Decision</x:v>
      </x:c>
      <x:c r="B413" s="15" t="str">
        <x:f>B431</x:f>
        <x:v>Consider separate clusters/pages if page types also differ.</x:v>
      </x:c>
      <x:c r="C413" s="15"/>
      <x:c r="D413" s="15"/>
      <x:c r="E413" s="15"/>
      <x:c r="F413" s="15"/>
      <x:c r="G413" s="15"/>
      <x:c r="H413" s="15"/>
    </x:row>
    <x:row r="415">
      <x:c r="A415" s="22" t="str">
        <x:v>Rank</x:v>
      </x:c>
      <x:c r="B415" s="22" t="str">
        <x:v>Keyword A URL</x:v>
      </x:c>
      <x:c r="C415" s="22" t="str">
        <x:v>Keyword A Business/Domain</x:v>
      </x:c>
      <x:c r="D415" s="22" t="str">
        <x:v>Page Type</x:v>
      </x:c>
      <x:c r="E415" s="22" t="str">
        <x:v>Rank</x:v>
      </x:c>
      <x:c r="F415" s="22" t="str">
        <x:v>Keyword B URL</x:v>
      </x:c>
      <x:c r="G415" s="22" t="str">
        <x:v>Keyword B Business/Domain</x:v>
      </x:c>
      <x:c r="H415" s="22" t="str">
        <x:v>Page Type</x:v>
      </x:c>
    </x:row>
    <x:row r="416">
      <x:c r="A416" s="45" t="n">
        <x:v>1</x:v>
      </x:c>
      <x:c r="B416" s="29"/>
      <x:c r="C416" s="29"/>
      <x:c r="D416" s="29"/>
      <x:c r="E416" s="51" t="n">
        <x:v>1</x:v>
      </x:c>
      <x:c r="F416" s="29"/>
      <x:c r="G416" s="29"/>
      <x:c r="H416" s="30"/>
    </x:row>
    <x:row r="417">
      <x:c r="A417" s="46" t="n">
        <x:v>2</x:v>
      </x:c>
      <x:c r="B417" s="32"/>
      <x:c r="C417" s="32"/>
      <x:c r="D417" s="32"/>
      <x:c r="E417" s="52" t="n">
        <x:v>2</x:v>
      </x:c>
      <x:c r="F417" s="32"/>
      <x:c r="G417" s="32"/>
      <x:c r="H417" s="33"/>
    </x:row>
    <x:row r="418">
      <x:c r="A418" s="46" t="n">
        <x:v>3</x:v>
      </x:c>
      <x:c r="B418" s="32"/>
      <x:c r="C418" s="32"/>
      <x:c r="D418" s="32"/>
      <x:c r="E418" s="52" t="n">
        <x:v>3</x:v>
      </x:c>
      <x:c r="F418" s="32"/>
      <x:c r="G418" s="32"/>
      <x:c r="H418" s="33"/>
    </x:row>
    <x:row r="419">
      <x:c r="A419" s="46" t="n">
        <x:v>4</x:v>
      </x:c>
      <x:c r="B419" s="32"/>
      <x:c r="C419" s="32"/>
      <x:c r="D419" s="32"/>
      <x:c r="E419" s="52" t="n">
        <x:v>4</x:v>
      </x:c>
      <x:c r="F419" s="32"/>
      <x:c r="G419" s="32"/>
      <x:c r="H419" s="33"/>
    </x:row>
    <x:row r="420">
      <x:c r="A420" s="46" t="n">
        <x:v>5</x:v>
      </x:c>
      <x:c r="B420" s="32"/>
      <x:c r="C420" s="32"/>
      <x:c r="D420" s="32"/>
      <x:c r="E420" s="52" t="n">
        <x:v>5</x:v>
      </x:c>
      <x:c r="F420" s="32"/>
      <x:c r="G420" s="32"/>
      <x:c r="H420" s="33"/>
    </x:row>
    <x:row r="421">
      <x:c r="A421" s="46" t="n">
        <x:v>6</x:v>
      </x:c>
      <x:c r="B421" s="32"/>
      <x:c r="C421" s="32"/>
      <x:c r="D421" s="32"/>
      <x:c r="E421" s="52" t="n">
        <x:v>6</x:v>
      </x:c>
      <x:c r="F421" s="32"/>
      <x:c r="G421" s="32"/>
      <x:c r="H421" s="33"/>
    </x:row>
    <x:row r="422">
      <x:c r="A422" s="46" t="n">
        <x:v>7</x:v>
      </x:c>
      <x:c r="B422" s="32"/>
      <x:c r="C422" s="32"/>
      <x:c r="D422" s="32"/>
      <x:c r="E422" s="52" t="n">
        <x:v>7</x:v>
      </x:c>
      <x:c r="F422" s="32"/>
      <x:c r="G422" s="32"/>
      <x:c r="H422" s="33"/>
    </x:row>
    <x:row r="423">
      <x:c r="A423" s="47" t="n">
        <x:v>8</x:v>
      </x:c>
      <x:c r="B423" s="35"/>
      <x:c r="C423" s="35"/>
      <x:c r="D423" s="35"/>
      <x:c r="E423" s="53" t="n">
        <x:v>8</x:v>
      </x:c>
      <x:c r="F423" s="35"/>
      <x:c r="G423" s="35"/>
      <x:c r="H423" s="36"/>
    </x:row>
    <x:row r="424">
      <x:c r="A424" s="57" t="str">
        <x:v>MATCH HIGHLIGHTS</x:v>
      </x:c>
      <x:c r="B424" s="57"/>
    </x:row>
    <x:row r="425">
      <x:c r="A425" s="60" t="str">
        <x:v>Exact URL</x:v>
      </x:c>
      <x:c r="B425" s="64" t="str">
        <x:v>Same business/domain</x:v>
      </x:c>
    </x:row>
    <x:row r="426">
      <x:c r="A426" s="8" t="str">
        <x:v>Overlap Signal</x:v>
      </x:c>
      <x:c r="D426" s="72" t="str">
        <x:v>FAST RULE
• 7–8 same URLs = strong overlap
• 3–6 same URLs = gray zone; discuss
• 0–2 same URLs = likely different intent
Use 5–8 organic results. Ignore ads, map packs, and duplicate sitelinks.</x:v>
      </x:c>
      <x:c r="E426" s="72"/>
      <x:c r="F426" s="72"/>
      <x:c r="G426" s="72"/>
      <x:c r="H426" s="72"/>
    </x:row>
    <x:row r="427">
      <x:c r="A427" s="8" t="str">
        <x:v>Same exact URL count</x:v>
      </x:c>
      <x:c r="B427" t="n">
        <x:f>SUMPRODUCT(--(B416:B423&lt;&gt;""),--(COUNTIF(F416:F423,B416:B423)&gt;0))</x:f>
        <x:v>0</x:v>
      </x:c>
      <x:c r="D427" s="72"/>
      <x:c r="E427" s="72"/>
      <x:c r="F427" s="72"/>
      <x:c r="G427" s="72"/>
      <x:c r="H427" s="72"/>
    </x:row>
    <x:row r="428">
      <x:c r="A428" s="8" t="str">
        <x:v>Same business/domain count</x:v>
      </x:c>
      <x:c r="B428" t="n">
        <x:f>SUMPRODUCT(--(C416:C423&lt;&gt;""),--(COUNTIF(G416:G423,C416:C423)&gt;0))</x:f>
        <x:v>0</x:v>
      </x:c>
      <x:c r="D428" s="72"/>
      <x:c r="E428" s="72"/>
      <x:c r="F428" s="72"/>
      <x:c r="G428" s="72"/>
      <x:c r="H428" s="72"/>
    </x:row>
    <x:row r="429">
      <x:c r="A429" s="8" t="str">
        <x:v>Same page-type count</x:v>
      </x:c>
      <x:c r="B429" t="n">
        <x:f>SUMPRODUCT(--(D416:D423&lt;&gt;""),--(COUNTIF(H416:H423,D416:D423)&gt;0))</x:f>
        <x:v>0</x:v>
      </x:c>
      <x:c r="D429" s="72"/>
      <x:c r="E429" s="72"/>
      <x:c r="F429" s="72"/>
      <x:c r="G429" s="72"/>
      <x:c r="H429" s="72"/>
    </x:row>
    <x:row r="430">
      <x:c r="A430" s="8" t="str">
        <x:v>Quick interpretation</x:v>
      </x:c>
      <x:c r="B430" s="67" t="str">
        <x:f>IF(B427&gt;=7,"Strong overlap: very likely the same search intent.",IF(B427&gt;=3,"GRAY ZONE: 3–6 shared URLs. Review page types, domains, and client priorities.",IF(B428&gt;=4,"Low exact overlap, but many of the same businesses rank with different pages.","Low overlap: likely a meaningfully different intent.")))</x:f>
        <x:v>Low overlap: likely a meaningfully different intent.</x:v>
      </x:c>
      <x:c r="C430" s="67"/>
      <x:c r="D430" s="67"/>
      <x:c r="E430" s="67"/>
      <x:c r="F430" s="67"/>
      <x:c r="G430" s="67"/>
      <x:c r="H430" s="67"/>
    </x:row>
    <x:row r="431">
      <x:c r="A431" s="8" t="str">
        <x:v>Recommended action</x:v>
      </x:c>
      <x:c r="B431" s="67" t="str">
        <x:f>IF(B427&gt;=7,"Keep these keywords in the same cluster/page.",IF(B427&gt;=3,"Discuss on the client call before deciding whether to split.",IF(B428&gt;=4,"Inspect which pages each business uses before splitting.","Consider separate clusters/pages if page types also differ.")))</x:f>
        <x:v>Consider separate clusters/pages if page types also differ.</x:v>
      </x:c>
      <x:c r="C431" s="67"/>
      <x:c r="D431" s="67"/>
      <x:c r="E431" s="67"/>
      <x:c r="F431" s="67"/>
      <x:c r="G431" s="67"/>
      <x:c r="H431" s="67"/>
    </x:row>
    <x:row r="432" ht="8" customHeight="1"/>
    <x:row r="433" ht="26" customHeight="1">
      <x:c r="A433" s="4" t="str">
        <x:v>SERP Overlap Quick Check — Comparison 19</x:v>
      </x:c>
      <x:c r="B433" s="4"/>
      <x:c r="C433" s="4"/>
      <x:c r="D433" s="4"/>
      <x:c r="E433" s="4"/>
      <x:c r="F433" s="4"/>
      <x:c r="G433" s="4"/>
      <x:c r="H433" s="4"/>
    </x:row>
    <x:row r="434">
      <x:c r="A434" s="8" t="str">
        <x:v>Cluster / Topic</x:v>
      </x:c>
      <x:c r="B434" s="14"/>
      <x:c r="C434" s="14"/>
      <x:c r="D434" s="14"/>
      <x:c r="E434" s="14"/>
      <x:c r="F434" s="14"/>
      <x:c r="G434" s="14"/>
      <x:c r="H434" s="14"/>
    </x:row>
    <x:row r="435">
      <x:c r="A435" s="8" t="str">
        <x:v>Keyword A</x:v>
      </x:c>
      <x:c r="B435" s="14"/>
      <x:c r="C435" s="14"/>
      <x:c r="D435" s="14"/>
      <x:c r="E435" s="14"/>
      <x:c r="F435" s="14"/>
      <x:c r="G435" s="14"/>
      <x:c r="H435" s="14"/>
    </x:row>
    <x:row r="436">
      <x:c r="A436" s="8" t="str">
        <x:v>Keyword B</x:v>
      </x:c>
      <x:c r="B436" s="14"/>
      <x:c r="C436" s="14"/>
      <x:c r="D436" s="14"/>
      <x:c r="E436" s="14"/>
      <x:c r="F436" s="14"/>
      <x:c r="G436" s="14"/>
      <x:c r="H436" s="14"/>
    </x:row>
    <x:row r="437">
      <x:c r="A437" s="8" t="str">
        <x:v>Decision</x:v>
      </x:c>
      <x:c r="B437" s="15" t="str">
        <x:f>B455</x:f>
        <x:v>Consider separate clusters/pages if page types also differ.</x:v>
      </x:c>
      <x:c r="C437" s="15"/>
      <x:c r="D437" s="15"/>
      <x:c r="E437" s="15"/>
      <x:c r="F437" s="15"/>
      <x:c r="G437" s="15"/>
      <x:c r="H437" s="15"/>
    </x:row>
    <x:row r="439">
      <x:c r="A439" s="22" t="str">
        <x:v>Rank</x:v>
      </x:c>
      <x:c r="B439" s="22" t="str">
        <x:v>Keyword A URL</x:v>
      </x:c>
      <x:c r="C439" s="22" t="str">
        <x:v>Keyword A Business/Domain</x:v>
      </x:c>
      <x:c r="D439" s="22" t="str">
        <x:v>Page Type</x:v>
      </x:c>
      <x:c r="E439" s="22" t="str">
        <x:v>Rank</x:v>
      </x:c>
      <x:c r="F439" s="22" t="str">
        <x:v>Keyword B URL</x:v>
      </x:c>
      <x:c r="G439" s="22" t="str">
        <x:v>Keyword B Business/Domain</x:v>
      </x:c>
      <x:c r="H439" s="22" t="str">
        <x:v>Page Type</x:v>
      </x:c>
    </x:row>
    <x:row r="440">
      <x:c r="A440" s="45" t="n">
        <x:v>1</x:v>
      </x:c>
      <x:c r="B440" s="29"/>
      <x:c r="C440" s="29"/>
      <x:c r="D440" s="29"/>
      <x:c r="E440" s="51" t="n">
        <x:v>1</x:v>
      </x:c>
      <x:c r="F440" s="29"/>
      <x:c r="G440" s="29"/>
      <x:c r="H440" s="30"/>
    </x:row>
    <x:row r="441">
      <x:c r="A441" s="46" t="n">
        <x:v>2</x:v>
      </x:c>
      <x:c r="B441" s="32"/>
      <x:c r="C441" s="32"/>
      <x:c r="D441" s="32"/>
      <x:c r="E441" s="52" t="n">
        <x:v>2</x:v>
      </x:c>
      <x:c r="F441" s="32"/>
      <x:c r="G441" s="32"/>
      <x:c r="H441" s="33"/>
    </x:row>
    <x:row r="442">
      <x:c r="A442" s="46" t="n">
        <x:v>3</x:v>
      </x:c>
      <x:c r="B442" s="32"/>
      <x:c r="C442" s="32"/>
      <x:c r="D442" s="32"/>
      <x:c r="E442" s="52" t="n">
        <x:v>3</x:v>
      </x:c>
      <x:c r="F442" s="32"/>
      <x:c r="G442" s="32"/>
      <x:c r="H442" s="33"/>
    </x:row>
    <x:row r="443">
      <x:c r="A443" s="46" t="n">
        <x:v>4</x:v>
      </x:c>
      <x:c r="B443" s="32"/>
      <x:c r="C443" s="32"/>
      <x:c r="D443" s="32"/>
      <x:c r="E443" s="52" t="n">
        <x:v>4</x:v>
      </x:c>
      <x:c r="F443" s="32"/>
      <x:c r="G443" s="32"/>
      <x:c r="H443" s="33"/>
    </x:row>
    <x:row r="444">
      <x:c r="A444" s="46" t="n">
        <x:v>5</x:v>
      </x:c>
      <x:c r="B444" s="32"/>
      <x:c r="C444" s="32"/>
      <x:c r="D444" s="32"/>
      <x:c r="E444" s="52" t="n">
        <x:v>5</x:v>
      </x:c>
      <x:c r="F444" s="32"/>
      <x:c r="G444" s="32"/>
      <x:c r="H444" s="33"/>
    </x:row>
    <x:row r="445">
      <x:c r="A445" s="46" t="n">
        <x:v>6</x:v>
      </x:c>
      <x:c r="B445" s="32"/>
      <x:c r="C445" s="32"/>
      <x:c r="D445" s="32"/>
      <x:c r="E445" s="52" t="n">
        <x:v>6</x:v>
      </x:c>
      <x:c r="F445" s="32"/>
      <x:c r="G445" s="32"/>
      <x:c r="H445" s="33"/>
    </x:row>
    <x:row r="446">
      <x:c r="A446" s="46" t="n">
        <x:v>7</x:v>
      </x:c>
      <x:c r="B446" s="32"/>
      <x:c r="C446" s="32"/>
      <x:c r="D446" s="32"/>
      <x:c r="E446" s="52" t="n">
        <x:v>7</x:v>
      </x:c>
      <x:c r="F446" s="32"/>
      <x:c r="G446" s="32"/>
      <x:c r="H446" s="33"/>
    </x:row>
    <x:row r="447">
      <x:c r="A447" s="47" t="n">
        <x:v>8</x:v>
      </x:c>
      <x:c r="B447" s="35"/>
      <x:c r="C447" s="35"/>
      <x:c r="D447" s="35"/>
      <x:c r="E447" s="53" t="n">
        <x:v>8</x:v>
      </x:c>
      <x:c r="F447" s="35"/>
      <x:c r="G447" s="35"/>
      <x:c r="H447" s="36"/>
    </x:row>
    <x:row r="448">
      <x:c r="A448" s="57" t="str">
        <x:v>MATCH HIGHLIGHTS</x:v>
      </x:c>
      <x:c r="B448" s="57"/>
    </x:row>
    <x:row r="449">
      <x:c r="A449" s="60" t="str">
        <x:v>Exact URL</x:v>
      </x:c>
      <x:c r="B449" s="64" t="str">
        <x:v>Same business/domain</x:v>
      </x:c>
    </x:row>
    <x:row r="450">
      <x:c r="A450" s="8" t="str">
        <x:v>Overlap Signal</x:v>
      </x:c>
      <x:c r="D450" s="72" t="str">
        <x:v>FAST RULE
• 7–8 same URLs = strong overlap
• 3–6 same URLs = gray zone; discuss
• 0–2 same URLs = likely different intent
Use 5–8 organic results. Ignore ads, map packs, and duplicate sitelinks.</x:v>
      </x:c>
      <x:c r="E450" s="72"/>
      <x:c r="F450" s="72"/>
      <x:c r="G450" s="72"/>
      <x:c r="H450" s="72"/>
    </x:row>
    <x:row r="451">
      <x:c r="A451" s="8" t="str">
        <x:v>Same exact URL count</x:v>
      </x:c>
      <x:c r="B451" t="n">
        <x:f>SUMPRODUCT(--(B440:B447&lt;&gt;""),--(COUNTIF(F440:F447,B440:B447)&gt;0))</x:f>
        <x:v>0</x:v>
      </x:c>
      <x:c r="D451" s="72"/>
      <x:c r="E451" s="72"/>
      <x:c r="F451" s="72"/>
      <x:c r="G451" s="72"/>
      <x:c r="H451" s="72"/>
    </x:row>
    <x:row r="452">
      <x:c r="A452" s="8" t="str">
        <x:v>Same business/domain count</x:v>
      </x:c>
      <x:c r="B452" t="n">
        <x:f>SUMPRODUCT(--(C440:C447&lt;&gt;""),--(COUNTIF(G440:G447,C440:C447)&gt;0))</x:f>
        <x:v>0</x:v>
      </x:c>
      <x:c r="D452" s="72"/>
      <x:c r="E452" s="72"/>
      <x:c r="F452" s="72"/>
      <x:c r="G452" s="72"/>
      <x:c r="H452" s="72"/>
    </x:row>
    <x:row r="453">
      <x:c r="A453" s="8" t="str">
        <x:v>Same page-type count</x:v>
      </x:c>
      <x:c r="B453" t="n">
        <x:f>SUMPRODUCT(--(D440:D447&lt;&gt;""),--(COUNTIF(H440:H447,D440:D447)&gt;0))</x:f>
        <x:v>0</x:v>
      </x:c>
      <x:c r="D453" s="72"/>
      <x:c r="E453" s="72"/>
      <x:c r="F453" s="72"/>
      <x:c r="G453" s="72"/>
      <x:c r="H453" s="72"/>
    </x:row>
    <x:row r="454">
      <x:c r="A454" s="8" t="str">
        <x:v>Quick interpretation</x:v>
      </x:c>
      <x:c r="B454" s="67" t="str">
        <x:f>IF(B451&gt;=7,"Strong overlap: very likely the same search intent.",IF(B451&gt;=3,"GRAY ZONE: 3–6 shared URLs. Review page types, domains, and client priorities.",IF(B452&gt;=4,"Low exact overlap, but many of the same businesses rank with different pages.","Low overlap: likely a meaningfully different intent.")))</x:f>
        <x:v>Low overlap: likely a meaningfully different intent.</x:v>
      </x:c>
      <x:c r="C454" s="67"/>
      <x:c r="D454" s="67"/>
      <x:c r="E454" s="67"/>
      <x:c r="F454" s="67"/>
      <x:c r="G454" s="67"/>
      <x:c r="H454" s="67"/>
    </x:row>
    <x:row r="455">
      <x:c r="A455" s="8" t="str">
        <x:v>Recommended action</x:v>
      </x:c>
      <x:c r="B455" s="67" t="str">
        <x:f>IF(B451&gt;=7,"Keep these keywords in the same cluster/page.",IF(B451&gt;=3,"Discuss on the client call before deciding whether to split.",IF(B452&gt;=4,"Inspect which pages each business uses before splitting.","Consider separate clusters/pages if page types also differ.")))</x:f>
        <x:v>Consider separate clusters/pages if page types also differ.</x:v>
      </x:c>
      <x:c r="C455" s="67"/>
      <x:c r="D455" s="67"/>
      <x:c r="E455" s="67"/>
      <x:c r="F455" s="67"/>
      <x:c r="G455" s="67"/>
      <x:c r="H455" s="67"/>
    </x:row>
    <x:row r="456" ht="8" customHeight="1"/>
    <x:row r="457" ht="26" customHeight="1">
      <x:c r="A457" s="4" t="str">
        <x:v>SERP Overlap Quick Check — Comparison 20</x:v>
      </x:c>
      <x:c r="B457" s="4"/>
      <x:c r="C457" s="4"/>
      <x:c r="D457" s="4"/>
      <x:c r="E457" s="4"/>
      <x:c r="F457" s="4"/>
      <x:c r="G457" s="4"/>
      <x:c r="H457" s="4"/>
    </x:row>
    <x:row r="458">
      <x:c r="A458" s="8" t="str">
        <x:v>Cluster / Topic</x:v>
      </x:c>
      <x:c r="B458" s="14"/>
      <x:c r="C458" s="14"/>
      <x:c r="D458" s="14"/>
      <x:c r="E458" s="14"/>
      <x:c r="F458" s="14"/>
      <x:c r="G458" s="14"/>
      <x:c r="H458" s="14"/>
    </x:row>
    <x:row r="459">
      <x:c r="A459" s="8" t="str">
        <x:v>Keyword A</x:v>
      </x:c>
      <x:c r="B459" s="14"/>
      <x:c r="C459" s="14"/>
      <x:c r="D459" s="14"/>
      <x:c r="E459" s="14"/>
      <x:c r="F459" s="14"/>
      <x:c r="G459" s="14"/>
      <x:c r="H459" s="14"/>
    </x:row>
    <x:row r="460">
      <x:c r="A460" s="8" t="str">
        <x:v>Keyword B</x:v>
      </x:c>
      <x:c r="B460" s="14"/>
      <x:c r="C460" s="14"/>
      <x:c r="D460" s="14"/>
      <x:c r="E460" s="14"/>
      <x:c r="F460" s="14"/>
      <x:c r="G460" s="14"/>
      <x:c r="H460" s="14"/>
    </x:row>
    <x:row r="461">
      <x:c r="A461" s="8" t="str">
        <x:v>Decision</x:v>
      </x:c>
      <x:c r="B461" s="15" t="str">
        <x:f>B479</x:f>
        <x:v>Consider separate clusters/pages if page types also differ.</x:v>
      </x:c>
      <x:c r="C461" s="15"/>
      <x:c r="D461" s="15"/>
      <x:c r="E461" s="15"/>
      <x:c r="F461" s="15"/>
      <x:c r="G461" s="15"/>
      <x:c r="H461" s="15"/>
    </x:row>
    <x:row r="463">
      <x:c r="A463" s="22" t="str">
        <x:v>Rank</x:v>
      </x:c>
      <x:c r="B463" s="22" t="str">
        <x:v>Keyword A URL</x:v>
      </x:c>
      <x:c r="C463" s="22" t="str">
        <x:v>Keyword A Business/Domain</x:v>
      </x:c>
      <x:c r="D463" s="22" t="str">
        <x:v>Page Type</x:v>
      </x:c>
      <x:c r="E463" s="22" t="str">
        <x:v>Rank</x:v>
      </x:c>
      <x:c r="F463" s="22" t="str">
        <x:v>Keyword B URL</x:v>
      </x:c>
      <x:c r="G463" s="22" t="str">
        <x:v>Keyword B Business/Domain</x:v>
      </x:c>
      <x:c r="H463" s="22" t="str">
        <x:v>Page Type</x:v>
      </x:c>
    </x:row>
    <x:row r="464">
      <x:c r="A464" s="45" t="n">
        <x:v>1</x:v>
      </x:c>
      <x:c r="B464" s="29"/>
      <x:c r="C464" s="29"/>
      <x:c r="D464" s="29"/>
      <x:c r="E464" s="51" t="n">
        <x:v>1</x:v>
      </x:c>
      <x:c r="F464" s="29"/>
      <x:c r="G464" s="29"/>
      <x:c r="H464" s="30"/>
    </x:row>
    <x:row r="465">
      <x:c r="A465" s="46" t="n">
        <x:v>2</x:v>
      </x:c>
      <x:c r="B465" s="32"/>
      <x:c r="C465" s="32"/>
      <x:c r="D465" s="32"/>
      <x:c r="E465" s="52" t="n">
        <x:v>2</x:v>
      </x:c>
      <x:c r="F465" s="32"/>
      <x:c r="G465" s="32"/>
      <x:c r="H465" s="33"/>
    </x:row>
    <x:row r="466">
      <x:c r="A466" s="46" t="n">
        <x:v>3</x:v>
      </x:c>
      <x:c r="B466" s="32"/>
      <x:c r="C466" s="32"/>
      <x:c r="D466" s="32"/>
      <x:c r="E466" s="52" t="n">
        <x:v>3</x:v>
      </x:c>
      <x:c r="F466" s="32"/>
      <x:c r="G466" s="32"/>
      <x:c r="H466" s="33"/>
    </x:row>
    <x:row r="467">
      <x:c r="A467" s="46" t="n">
        <x:v>4</x:v>
      </x:c>
      <x:c r="B467" s="32"/>
      <x:c r="C467" s="32"/>
      <x:c r="D467" s="32"/>
      <x:c r="E467" s="52" t="n">
        <x:v>4</x:v>
      </x:c>
      <x:c r="F467" s="32"/>
      <x:c r="G467" s="32"/>
      <x:c r="H467" s="33"/>
    </x:row>
    <x:row r="468">
      <x:c r="A468" s="46" t="n">
        <x:v>5</x:v>
      </x:c>
      <x:c r="B468" s="32"/>
      <x:c r="C468" s="32"/>
      <x:c r="D468" s="32"/>
      <x:c r="E468" s="52" t="n">
        <x:v>5</x:v>
      </x:c>
      <x:c r="F468" s="32"/>
      <x:c r="G468" s="32"/>
      <x:c r="H468" s="33"/>
    </x:row>
    <x:row r="469">
      <x:c r="A469" s="46" t="n">
        <x:v>6</x:v>
      </x:c>
      <x:c r="B469" s="32"/>
      <x:c r="C469" s="32"/>
      <x:c r="D469" s="32"/>
      <x:c r="E469" s="52" t="n">
        <x:v>6</x:v>
      </x:c>
      <x:c r="F469" s="32"/>
      <x:c r="G469" s="32"/>
      <x:c r="H469" s="33"/>
    </x:row>
    <x:row r="470">
      <x:c r="A470" s="46" t="n">
        <x:v>7</x:v>
      </x:c>
      <x:c r="B470" s="32"/>
      <x:c r="C470" s="32"/>
      <x:c r="D470" s="32"/>
      <x:c r="E470" s="52" t="n">
        <x:v>7</x:v>
      </x:c>
      <x:c r="F470" s="32"/>
      <x:c r="G470" s="32"/>
      <x:c r="H470" s="33"/>
    </x:row>
    <x:row r="471">
      <x:c r="A471" s="47" t="n">
        <x:v>8</x:v>
      </x:c>
      <x:c r="B471" s="35"/>
      <x:c r="C471" s="35"/>
      <x:c r="D471" s="35"/>
      <x:c r="E471" s="53" t="n">
        <x:v>8</x:v>
      </x:c>
      <x:c r="F471" s="35"/>
      <x:c r="G471" s="35"/>
      <x:c r="H471" s="36"/>
    </x:row>
    <x:row r="472">
      <x:c r="A472" s="57" t="str">
        <x:v>MATCH HIGHLIGHTS</x:v>
      </x:c>
      <x:c r="B472" s="57"/>
    </x:row>
    <x:row r="473">
      <x:c r="A473" s="60" t="str">
        <x:v>Exact URL</x:v>
      </x:c>
      <x:c r="B473" s="64" t="str">
        <x:v>Same business/domain</x:v>
      </x:c>
    </x:row>
    <x:row r="474">
      <x:c r="A474" s="8" t="str">
        <x:v>Overlap Signal</x:v>
      </x:c>
      <x:c r="D474" s="72" t="str">
        <x:v>FAST RULE
• 7–8 same URLs = strong overlap
• 3–6 same URLs = gray zone; discuss
• 0–2 same URLs = likely different intent
Use 5–8 organic results. Ignore ads, map packs, and duplicate sitelinks.</x:v>
      </x:c>
      <x:c r="E474" s="72"/>
      <x:c r="F474" s="72"/>
      <x:c r="G474" s="72"/>
      <x:c r="H474" s="72"/>
    </x:row>
    <x:row r="475">
      <x:c r="A475" s="8" t="str">
        <x:v>Same exact URL count</x:v>
      </x:c>
      <x:c r="B475" t="n">
        <x:f>SUMPRODUCT(--(B464:B471&lt;&gt;""),--(COUNTIF(F464:F471,B464:B471)&gt;0))</x:f>
        <x:v>0</x:v>
      </x:c>
      <x:c r="D475" s="72"/>
      <x:c r="E475" s="72"/>
      <x:c r="F475" s="72"/>
      <x:c r="G475" s="72"/>
      <x:c r="H475" s="72"/>
    </x:row>
    <x:row r="476">
      <x:c r="A476" s="8" t="str">
        <x:v>Same business/domain count</x:v>
      </x:c>
      <x:c r="B476" t="n">
        <x:f>SUMPRODUCT(--(C464:C471&lt;&gt;""),--(COUNTIF(G464:G471,C464:C471)&gt;0))</x:f>
        <x:v>0</x:v>
      </x:c>
      <x:c r="D476" s="72"/>
      <x:c r="E476" s="72"/>
      <x:c r="F476" s="72"/>
      <x:c r="G476" s="72"/>
      <x:c r="H476" s="72"/>
    </x:row>
    <x:row r="477">
      <x:c r="A477" s="8" t="str">
        <x:v>Same page-type count</x:v>
      </x:c>
      <x:c r="B477" t="n">
        <x:f>SUMPRODUCT(--(D464:D471&lt;&gt;""),--(COUNTIF(H464:H471,D464:D471)&gt;0))</x:f>
        <x:v>0</x:v>
      </x:c>
      <x:c r="D477" s="72"/>
      <x:c r="E477" s="72"/>
      <x:c r="F477" s="72"/>
      <x:c r="G477" s="72"/>
      <x:c r="H477" s="72"/>
    </x:row>
    <x:row r="478">
      <x:c r="A478" s="8" t="str">
        <x:v>Quick interpretation</x:v>
      </x:c>
      <x:c r="B478" s="67" t="str">
        <x:f>IF(B475&gt;=7,"Strong overlap: very likely the same search intent.",IF(B475&gt;=3,"GRAY ZONE: 3–6 shared URLs. Review page types, domains, and client priorities.",IF(B476&gt;=4,"Low exact overlap, but many of the same businesses rank with different pages.","Low overlap: likely a meaningfully different intent.")))</x:f>
        <x:v>Low overlap: likely a meaningfully different intent.</x:v>
      </x:c>
      <x:c r="C478" s="67"/>
      <x:c r="D478" s="67"/>
      <x:c r="E478" s="67"/>
      <x:c r="F478" s="67"/>
      <x:c r="G478" s="67"/>
      <x:c r="H478" s="67"/>
    </x:row>
    <x:row r="479">
      <x:c r="A479" s="8" t="str">
        <x:v>Recommended action</x:v>
      </x:c>
      <x:c r="B479" s="67" t="str">
        <x:f>IF(B475&gt;=7,"Keep these keywords in the same cluster/page.",IF(B475&gt;=3,"Discuss on the client call before deciding whether to split.",IF(B476&gt;=4,"Inspect which pages each business uses before splitting.","Consider separate clusters/pages if page types also differ.")))</x:f>
        <x:v>Consider separate clusters/pages if page types also differ.</x:v>
      </x:c>
      <x:c r="C479" s="67"/>
      <x:c r="D479" s="67"/>
      <x:c r="E479" s="67"/>
      <x:c r="F479" s="67"/>
      <x:c r="G479" s="67"/>
      <x:c r="H479" s="67"/>
    </x:row>
    <x:row r="480" ht="8" customHeight="1"/>
    <x:row r="481" ht="26" customHeight="1">
      <x:c r="A481" s="4" t="str">
        <x:v>SERP Overlap Quick Check — Comparison 21</x:v>
      </x:c>
      <x:c r="B481" s="4"/>
      <x:c r="C481" s="4"/>
      <x:c r="D481" s="4"/>
      <x:c r="E481" s="4"/>
      <x:c r="F481" s="4"/>
      <x:c r="G481" s="4"/>
      <x:c r="H481" s="4"/>
    </x:row>
    <x:row r="482">
      <x:c r="A482" s="8" t="str">
        <x:v>Cluster / Topic</x:v>
      </x:c>
      <x:c r="B482" s="14"/>
      <x:c r="C482" s="14"/>
      <x:c r="D482" s="14"/>
      <x:c r="E482" s="14"/>
      <x:c r="F482" s="14"/>
      <x:c r="G482" s="14"/>
      <x:c r="H482" s="14"/>
    </x:row>
    <x:row r="483">
      <x:c r="A483" s="8" t="str">
        <x:v>Keyword A</x:v>
      </x:c>
      <x:c r="B483" s="14"/>
      <x:c r="C483" s="14"/>
      <x:c r="D483" s="14"/>
      <x:c r="E483" s="14"/>
      <x:c r="F483" s="14"/>
      <x:c r="G483" s="14"/>
      <x:c r="H483" s="14"/>
    </x:row>
    <x:row r="484">
      <x:c r="A484" s="8" t="str">
        <x:v>Keyword B</x:v>
      </x:c>
      <x:c r="B484" s="14"/>
      <x:c r="C484" s="14"/>
      <x:c r="D484" s="14"/>
      <x:c r="E484" s="14"/>
      <x:c r="F484" s="14"/>
      <x:c r="G484" s="14"/>
      <x:c r="H484" s="14"/>
    </x:row>
    <x:row r="485">
      <x:c r="A485" s="8" t="str">
        <x:v>Decision</x:v>
      </x:c>
      <x:c r="B485" s="15" t="str">
        <x:f>B503</x:f>
        <x:v>Consider separate clusters/pages if page types also differ.</x:v>
      </x:c>
      <x:c r="C485" s="15"/>
      <x:c r="D485" s="15"/>
      <x:c r="E485" s="15"/>
      <x:c r="F485" s="15"/>
      <x:c r="G485" s="15"/>
      <x:c r="H485" s="15"/>
    </x:row>
    <x:row r="487">
      <x:c r="A487" s="22" t="str">
        <x:v>Rank</x:v>
      </x:c>
      <x:c r="B487" s="22" t="str">
        <x:v>Keyword A URL</x:v>
      </x:c>
      <x:c r="C487" s="22" t="str">
        <x:v>Keyword A Business/Domain</x:v>
      </x:c>
      <x:c r="D487" s="22" t="str">
        <x:v>Page Type</x:v>
      </x:c>
      <x:c r="E487" s="22" t="str">
        <x:v>Rank</x:v>
      </x:c>
      <x:c r="F487" s="22" t="str">
        <x:v>Keyword B URL</x:v>
      </x:c>
      <x:c r="G487" s="22" t="str">
        <x:v>Keyword B Business/Domain</x:v>
      </x:c>
      <x:c r="H487" s="22" t="str">
        <x:v>Page Type</x:v>
      </x:c>
    </x:row>
    <x:row r="488">
      <x:c r="A488" s="45" t="n">
        <x:v>1</x:v>
      </x:c>
      <x:c r="B488" s="29"/>
      <x:c r="C488" s="29"/>
      <x:c r="D488" s="29"/>
      <x:c r="E488" s="51" t="n">
        <x:v>1</x:v>
      </x:c>
      <x:c r="F488" s="29"/>
      <x:c r="G488" s="29"/>
      <x:c r="H488" s="30"/>
    </x:row>
    <x:row r="489">
      <x:c r="A489" s="46" t="n">
        <x:v>2</x:v>
      </x:c>
      <x:c r="B489" s="32"/>
      <x:c r="C489" s="32"/>
      <x:c r="D489" s="32"/>
      <x:c r="E489" s="52" t="n">
        <x:v>2</x:v>
      </x:c>
      <x:c r="F489" s="32"/>
      <x:c r="G489" s="32"/>
      <x:c r="H489" s="33"/>
    </x:row>
    <x:row r="490">
      <x:c r="A490" s="46" t="n">
        <x:v>3</x:v>
      </x:c>
      <x:c r="B490" s="32"/>
      <x:c r="C490" s="32"/>
      <x:c r="D490" s="32"/>
      <x:c r="E490" s="52" t="n">
        <x:v>3</x:v>
      </x:c>
      <x:c r="F490" s="32"/>
      <x:c r="G490" s="32"/>
      <x:c r="H490" s="33"/>
    </x:row>
    <x:row r="491">
      <x:c r="A491" s="46" t="n">
        <x:v>4</x:v>
      </x:c>
      <x:c r="B491" s="32"/>
      <x:c r="C491" s="32"/>
      <x:c r="D491" s="32"/>
      <x:c r="E491" s="52" t="n">
        <x:v>4</x:v>
      </x:c>
      <x:c r="F491" s="32"/>
      <x:c r="G491" s="32"/>
      <x:c r="H491" s="33"/>
    </x:row>
    <x:row r="492">
      <x:c r="A492" s="46" t="n">
        <x:v>5</x:v>
      </x:c>
      <x:c r="B492" s="32"/>
      <x:c r="C492" s="32"/>
      <x:c r="D492" s="32"/>
      <x:c r="E492" s="52" t="n">
        <x:v>5</x:v>
      </x:c>
      <x:c r="F492" s="32"/>
      <x:c r="G492" s="32"/>
      <x:c r="H492" s="33"/>
    </x:row>
    <x:row r="493">
      <x:c r="A493" s="46" t="n">
        <x:v>6</x:v>
      </x:c>
      <x:c r="B493" s="32"/>
      <x:c r="C493" s="32"/>
      <x:c r="D493" s="32"/>
      <x:c r="E493" s="52" t="n">
        <x:v>6</x:v>
      </x:c>
      <x:c r="F493" s="32"/>
      <x:c r="G493" s="32"/>
      <x:c r="H493" s="33"/>
    </x:row>
    <x:row r="494">
      <x:c r="A494" s="46" t="n">
        <x:v>7</x:v>
      </x:c>
      <x:c r="B494" s="32"/>
      <x:c r="C494" s="32"/>
      <x:c r="D494" s="32"/>
      <x:c r="E494" s="52" t="n">
        <x:v>7</x:v>
      </x:c>
      <x:c r="F494" s="32"/>
      <x:c r="G494" s="32"/>
      <x:c r="H494" s="33"/>
    </x:row>
    <x:row r="495">
      <x:c r="A495" s="47" t="n">
        <x:v>8</x:v>
      </x:c>
      <x:c r="B495" s="35"/>
      <x:c r="C495" s="35"/>
      <x:c r="D495" s="35"/>
      <x:c r="E495" s="53" t="n">
        <x:v>8</x:v>
      </x:c>
      <x:c r="F495" s="35"/>
      <x:c r="G495" s="35"/>
      <x:c r="H495" s="36"/>
    </x:row>
    <x:row r="496">
      <x:c r="A496" s="57" t="str">
        <x:v>MATCH HIGHLIGHTS</x:v>
      </x:c>
      <x:c r="B496" s="57"/>
    </x:row>
    <x:row r="497">
      <x:c r="A497" s="60" t="str">
        <x:v>Exact URL</x:v>
      </x:c>
      <x:c r="B497" s="64" t="str">
        <x:v>Same business/domain</x:v>
      </x:c>
    </x:row>
    <x:row r="498">
      <x:c r="A498" s="8" t="str">
        <x:v>Overlap Signal</x:v>
      </x:c>
      <x:c r="D498" s="72" t="str">
        <x:v>FAST RULE
• 7–8 same URLs = strong overlap
• 3–6 same URLs = gray zone; discuss
• 0–2 same URLs = likely different intent
Use 5–8 organic results. Ignore ads, map packs, and duplicate sitelinks.</x:v>
      </x:c>
      <x:c r="E498" s="72"/>
      <x:c r="F498" s="72"/>
      <x:c r="G498" s="72"/>
      <x:c r="H498" s="72"/>
    </x:row>
    <x:row r="499">
      <x:c r="A499" s="8" t="str">
        <x:v>Same exact URL count</x:v>
      </x:c>
      <x:c r="B499" t="n">
        <x:f>SUMPRODUCT(--(B488:B495&lt;&gt;""),--(COUNTIF(F488:F495,B488:B495)&gt;0))</x:f>
        <x:v>0</x:v>
      </x:c>
      <x:c r="D499" s="72"/>
      <x:c r="E499" s="72"/>
      <x:c r="F499" s="72"/>
      <x:c r="G499" s="72"/>
      <x:c r="H499" s="72"/>
    </x:row>
    <x:row r="500">
      <x:c r="A500" s="8" t="str">
        <x:v>Same business/domain count</x:v>
      </x:c>
      <x:c r="B500" t="n">
        <x:f>SUMPRODUCT(--(C488:C495&lt;&gt;""),--(COUNTIF(G488:G495,C488:C495)&gt;0))</x:f>
        <x:v>0</x:v>
      </x:c>
      <x:c r="D500" s="72"/>
      <x:c r="E500" s="72"/>
      <x:c r="F500" s="72"/>
      <x:c r="G500" s="72"/>
      <x:c r="H500" s="72"/>
    </x:row>
    <x:row r="501">
      <x:c r="A501" s="8" t="str">
        <x:v>Same page-type count</x:v>
      </x:c>
      <x:c r="B501" t="n">
        <x:f>SUMPRODUCT(--(D488:D495&lt;&gt;""),--(COUNTIF(H488:H495,D488:D495)&gt;0))</x:f>
        <x:v>0</x:v>
      </x:c>
      <x:c r="D501" s="72"/>
      <x:c r="E501" s="72"/>
      <x:c r="F501" s="72"/>
      <x:c r="G501" s="72"/>
      <x:c r="H501" s="72"/>
    </x:row>
    <x:row r="502">
      <x:c r="A502" s="8" t="str">
        <x:v>Quick interpretation</x:v>
      </x:c>
      <x:c r="B502" s="67" t="str">
        <x:f>IF(B499&gt;=7,"Strong overlap: very likely the same search intent.",IF(B499&gt;=3,"GRAY ZONE: 3–6 shared URLs. Review page types, domains, and client priorities.",IF(B500&gt;=4,"Low exact overlap, but many of the same businesses rank with different pages.","Low overlap: likely a meaningfully different intent.")))</x:f>
        <x:v>Low overlap: likely a meaningfully different intent.</x:v>
      </x:c>
      <x:c r="C502" s="67"/>
      <x:c r="D502" s="67"/>
      <x:c r="E502" s="67"/>
      <x:c r="F502" s="67"/>
      <x:c r="G502" s="67"/>
      <x:c r="H502" s="67"/>
    </x:row>
    <x:row r="503">
      <x:c r="A503" s="8" t="str">
        <x:v>Recommended action</x:v>
      </x:c>
      <x:c r="B503" s="67" t="str">
        <x:f>IF(B499&gt;=7,"Keep these keywords in the same cluster/page.",IF(B499&gt;=3,"Discuss on the client call before deciding whether to split.",IF(B500&gt;=4,"Inspect which pages each business uses before splitting.","Consider separate clusters/pages if page types also differ.")))</x:f>
        <x:v>Consider separate clusters/pages if page types also differ.</x:v>
      </x:c>
      <x:c r="C503" s="67"/>
      <x:c r="D503" s="67"/>
      <x:c r="E503" s="67"/>
      <x:c r="F503" s="67"/>
      <x:c r="G503" s="67"/>
      <x:c r="H503" s="67"/>
    </x:row>
    <x:row r="504" ht="8" customHeight="1"/>
    <x:row r="505" ht="26" customHeight="1">
      <x:c r="A505" s="4" t="str">
        <x:v>SERP Overlap Quick Check — Comparison 22</x:v>
      </x:c>
      <x:c r="B505" s="4"/>
      <x:c r="C505" s="4"/>
      <x:c r="D505" s="4"/>
      <x:c r="E505" s="4"/>
      <x:c r="F505" s="4"/>
      <x:c r="G505" s="4"/>
      <x:c r="H505" s="4"/>
    </x:row>
    <x:row r="506">
      <x:c r="A506" s="8" t="str">
        <x:v>Cluster / Topic</x:v>
      </x:c>
      <x:c r="B506" s="14"/>
      <x:c r="C506" s="14"/>
      <x:c r="D506" s="14"/>
      <x:c r="E506" s="14"/>
      <x:c r="F506" s="14"/>
      <x:c r="G506" s="14"/>
      <x:c r="H506" s="14"/>
    </x:row>
    <x:row r="507">
      <x:c r="A507" s="8" t="str">
        <x:v>Keyword A</x:v>
      </x:c>
      <x:c r="B507" s="14"/>
      <x:c r="C507" s="14"/>
      <x:c r="D507" s="14"/>
      <x:c r="E507" s="14"/>
      <x:c r="F507" s="14"/>
      <x:c r="G507" s="14"/>
      <x:c r="H507" s="14"/>
    </x:row>
    <x:row r="508">
      <x:c r="A508" s="8" t="str">
        <x:v>Keyword B</x:v>
      </x:c>
      <x:c r="B508" s="14"/>
      <x:c r="C508" s="14"/>
      <x:c r="D508" s="14"/>
      <x:c r="E508" s="14"/>
      <x:c r="F508" s="14"/>
      <x:c r="G508" s="14"/>
      <x:c r="H508" s="14"/>
    </x:row>
    <x:row r="509">
      <x:c r="A509" s="8" t="str">
        <x:v>Decision</x:v>
      </x:c>
      <x:c r="B509" s="15" t="str">
        <x:f>B527</x:f>
        <x:v>Consider separate clusters/pages if page types also differ.</x:v>
      </x:c>
      <x:c r="C509" s="15"/>
      <x:c r="D509" s="15"/>
      <x:c r="E509" s="15"/>
      <x:c r="F509" s="15"/>
      <x:c r="G509" s="15"/>
      <x:c r="H509" s="15"/>
    </x:row>
    <x:row r="511">
      <x:c r="A511" s="22" t="str">
        <x:v>Rank</x:v>
      </x:c>
      <x:c r="B511" s="22" t="str">
        <x:v>Keyword A URL</x:v>
      </x:c>
      <x:c r="C511" s="22" t="str">
        <x:v>Keyword A Business/Domain</x:v>
      </x:c>
      <x:c r="D511" s="22" t="str">
        <x:v>Page Type</x:v>
      </x:c>
      <x:c r="E511" s="22" t="str">
        <x:v>Rank</x:v>
      </x:c>
      <x:c r="F511" s="22" t="str">
        <x:v>Keyword B URL</x:v>
      </x:c>
      <x:c r="G511" s="22" t="str">
        <x:v>Keyword B Business/Domain</x:v>
      </x:c>
      <x:c r="H511" s="22" t="str">
        <x:v>Page Type</x:v>
      </x:c>
    </x:row>
    <x:row r="512">
      <x:c r="A512" s="45" t="n">
        <x:v>1</x:v>
      </x:c>
      <x:c r="B512" s="29"/>
      <x:c r="C512" s="29"/>
      <x:c r="D512" s="29"/>
      <x:c r="E512" s="51" t="n">
        <x:v>1</x:v>
      </x:c>
      <x:c r="F512" s="29"/>
      <x:c r="G512" s="29"/>
      <x:c r="H512" s="30"/>
    </x:row>
    <x:row r="513">
      <x:c r="A513" s="46" t="n">
        <x:v>2</x:v>
      </x:c>
      <x:c r="B513" s="32"/>
      <x:c r="C513" s="32"/>
      <x:c r="D513" s="32"/>
      <x:c r="E513" s="52" t="n">
        <x:v>2</x:v>
      </x:c>
      <x:c r="F513" s="32"/>
      <x:c r="G513" s="32"/>
      <x:c r="H513" s="33"/>
    </x:row>
    <x:row r="514">
      <x:c r="A514" s="46" t="n">
        <x:v>3</x:v>
      </x:c>
      <x:c r="B514" s="32"/>
      <x:c r="C514" s="32"/>
      <x:c r="D514" s="32"/>
      <x:c r="E514" s="52" t="n">
        <x:v>3</x:v>
      </x:c>
      <x:c r="F514" s="32"/>
      <x:c r="G514" s="32"/>
      <x:c r="H514" s="33"/>
    </x:row>
    <x:row r="515">
      <x:c r="A515" s="46" t="n">
        <x:v>4</x:v>
      </x:c>
      <x:c r="B515" s="32"/>
      <x:c r="C515" s="32"/>
      <x:c r="D515" s="32"/>
      <x:c r="E515" s="52" t="n">
        <x:v>4</x:v>
      </x:c>
      <x:c r="F515" s="32"/>
      <x:c r="G515" s="32"/>
      <x:c r="H515" s="33"/>
    </x:row>
    <x:row r="516">
      <x:c r="A516" s="46" t="n">
        <x:v>5</x:v>
      </x:c>
      <x:c r="B516" s="32"/>
      <x:c r="C516" s="32"/>
      <x:c r="D516" s="32"/>
      <x:c r="E516" s="52" t="n">
        <x:v>5</x:v>
      </x:c>
      <x:c r="F516" s="32"/>
      <x:c r="G516" s="32"/>
      <x:c r="H516" s="33"/>
    </x:row>
    <x:row r="517">
      <x:c r="A517" s="46" t="n">
        <x:v>6</x:v>
      </x:c>
      <x:c r="B517" s="32"/>
      <x:c r="C517" s="32"/>
      <x:c r="D517" s="32"/>
      <x:c r="E517" s="52" t="n">
        <x:v>6</x:v>
      </x:c>
      <x:c r="F517" s="32"/>
      <x:c r="G517" s="32"/>
      <x:c r="H517" s="33"/>
    </x:row>
    <x:row r="518">
      <x:c r="A518" s="46" t="n">
        <x:v>7</x:v>
      </x:c>
      <x:c r="B518" s="32"/>
      <x:c r="C518" s="32"/>
      <x:c r="D518" s="32"/>
      <x:c r="E518" s="52" t="n">
        <x:v>7</x:v>
      </x:c>
      <x:c r="F518" s="32"/>
      <x:c r="G518" s="32"/>
      <x:c r="H518" s="33"/>
    </x:row>
    <x:row r="519">
      <x:c r="A519" s="47" t="n">
        <x:v>8</x:v>
      </x:c>
      <x:c r="B519" s="35"/>
      <x:c r="C519" s="35"/>
      <x:c r="D519" s="35"/>
      <x:c r="E519" s="53" t="n">
        <x:v>8</x:v>
      </x:c>
      <x:c r="F519" s="35"/>
      <x:c r="G519" s="35"/>
      <x:c r="H519" s="36"/>
    </x:row>
    <x:row r="520">
      <x:c r="A520" s="57" t="str">
        <x:v>MATCH HIGHLIGHTS</x:v>
      </x:c>
      <x:c r="B520" s="57"/>
    </x:row>
    <x:row r="521">
      <x:c r="A521" s="60" t="str">
        <x:v>Exact URL</x:v>
      </x:c>
      <x:c r="B521" s="64" t="str">
        <x:v>Same business/domain</x:v>
      </x:c>
    </x:row>
    <x:row r="522">
      <x:c r="A522" s="8" t="str">
        <x:v>Overlap Signal</x:v>
      </x:c>
      <x:c r="D522" s="72" t="str">
        <x:v>FAST RULE
• 7–8 same URLs = strong overlap
• 3–6 same URLs = gray zone; discuss
• 0–2 same URLs = likely different intent
Use 5–8 organic results. Ignore ads, map packs, and duplicate sitelinks.</x:v>
      </x:c>
      <x:c r="E522" s="72"/>
      <x:c r="F522" s="72"/>
      <x:c r="G522" s="72"/>
      <x:c r="H522" s="72"/>
    </x:row>
    <x:row r="523">
      <x:c r="A523" s="8" t="str">
        <x:v>Same exact URL count</x:v>
      </x:c>
      <x:c r="B523" t="n">
        <x:f>SUMPRODUCT(--(B512:B519&lt;&gt;""),--(COUNTIF(F512:F519,B512:B519)&gt;0))</x:f>
        <x:v>0</x:v>
      </x:c>
      <x:c r="D523" s="72"/>
      <x:c r="E523" s="72"/>
      <x:c r="F523" s="72"/>
      <x:c r="G523" s="72"/>
      <x:c r="H523" s="72"/>
    </x:row>
    <x:row r="524">
      <x:c r="A524" s="8" t="str">
        <x:v>Same business/domain count</x:v>
      </x:c>
      <x:c r="B524" t="n">
        <x:f>SUMPRODUCT(--(C512:C519&lt;&gt;""),--(COUNTIF(G512:G519,C512:C519)&gt;0))</x:f>
        <x:v>0</x:v>
      </x:c>
      <x:c r="D524" s="72"/>
      <x:c r="E524" s="72"/>
      <x:c r="F524" s="72"/>
      <x:c r="G524" s="72"/>
      <x:c r="H524" s="72"/>
    </x:row>
    <x:row r="525">
      <x:c r="A525" s="8" t="str">
        <x:v>Same page-type count</x:v>
      </x:c>
      <x:c r="B525" t="n">
        <x:f>SUMPRODUCT(--(D512:D519&lt;&gt;""),--(COUNTIF(H512:H519,D512:D519)&gt;0))</x:f>
        <x:v>0</x:v>
      </x:c>
      <x:c r="D525" s="72"/>
      <x:c r="E525" s="72"/>
      <x:c r="F525" s="72"/>
      <x:c r="G525" s="72"/>
      <x:c r="H525" s="72"/>
    </x:row>
    <x:row r="526">
      <x:c r="A526" s="8" t="str">
        <x:v>Quick interpretation</x:v>
      </x:c>
      <x:c r="B526" s="67" t="str">
        <x:f>IF(B523&gt;=7,"Strong overlap: very likely the same search intent.",IF(B523&gt;=3,"GRAY ZONE: 3–6 shared URLs. Review page types, domains, and client priorities.",IF(B524&gt;=4,"Low exact overlap, but many of the same businesses rank with different pages.","Low overlap: likely a meaningfully different intent.")))</x:f>
        <x:v>Low overlap: likely a meaningfully different intent.</x:v>
      </x:c>
      <x:c r="C526" s="67"/>
      <x:c r="D526" s="67"/>
      <x:c r="E526" s="67"/>
      <x:c r="F526" s="67"/>
      <x:c r="G526" s="67"/>
      <x:c r="H526" s="67"/>
    </x:row>
    <x:row r="527">
      <x:c r="A527" s="8" t="str">
        <x:v>Recommended action</x:v>
      </x:c>
      <x:c r="B527" s="67" t="str">
        <x:f>IF(B523&gt;=7,"Keep these keywords in the same cluster/page.",IF(B523&gt;=3,"Discuss on the client call before deciding whether to split.",IF(B524&gt;=4,"Inspect which pages each business uses before splitting.","Consider separate clusters/pages if page types also differ.")))</x:f>
        <x:v>Consider separate clusters/pages if page types also differ.</x:v>
      </x:c>
      <x:c r="C527" s="67"/>
      <x:c r="D527" s="67"/>
      <x:c r="E527" s="67"/>
      <x:c r="F527" s="67"/>
      <x:c r="G527" s="67"/>
      <x:c r="H527" s="67"/>
    </x:row>
    <x:row r="528" ht="8" customHeight="1"/>
    <x:row r="529" ht="26" customHeight="1">
      <x:c r="A529" s="4" t="str">
        <x:v>SERP Overlap Quick Check — Comparison 23</x:v>
      </x:c>
      <x:c r="B529" s="4"/>
      <x:c r="C529" s="4"/>
      <x:c r="D529" s="4"/>
      <x:c r="E529" s="4"/>
      <x:c r="F529" s="4"/>
      <x:c r="G529" s="4"/>
      <x:c r="H529" s="4"/>
    </x:row>
    <x:row r="530">
      <x:c r="A530" s="8" t="str">
        <x:v>Cluster / Topic</x:v>
      </x:c>
      <x:c r="B530" s="14"/>
      <x:c r="C530" s="14"/>
      <x:c r="D530" s="14"/>
      <x:c r="E530" s="14"/>
      <x:c r="F530" s="14"/>
      <x:c r="G530" s="14"/>
      <x:c r="H530" s="14"/>
    </x:row>
    <x:row r="531">
      <x:c r="A531" s="8" t="str">
        <x:v>Keyword A</x:v>
      </x:c>
      <x:c r="B531" s="14"/>
      <x:c r="C531" s="14"/>
      <x:c r="D531" s="14"/>
      <x:c r="E531" s="14"/>
      <x:c r="F531" s="14"/>
      <x:c r="G531" s="14"/>
      <x:c r="H531" s="14"/>
    </x:row>
    <x:row r="532">
      <x:c r="A532" s="8" t="str">
        <x:v>Keyword B</x:v>
      </x:c>
      <x:c r="B532" s="14"/>
      <x:c r="C532" s="14"/>
      <x:c r="D532" s="14"/>
      <x:c r="E532" s="14"/>
      <x:c r="F532" s="14"/>
      <x:c r="G532" s="14"/>
      <x:c r="H532" s="14"/>
    </x:row>
    <x:row r="533">
      <x:c r="A533" s="8" t="str">
        <x:v>Decision</x:v>
      </x:c>
      <x:c r="B533" s="15" t="str">
        <x:f>B551</x:f>
        <x:v>Consider separate clusters/pages if page types also differ.</x:v>
      </x:c>
      <x:c r="C533" s="15"/>
      <x:c r="D533" s="15"/>
      <x:c r="E533" s="15"/>
      <x:c r="F533" s="15"/>
      <x:c r="G533" s="15"/>
      <x:c r="H533" s="15"/>
    </x:row>
    <x:row r="535">
      <x:c r="A535" s="22" t="str">
        <x:v>Rank</x:v>
      </x:c>
      <x:c r="B535" s="22" t="str">
        <x:v>Keyword A URL</x:v>
      </x:c>
      <x:c r="C535" s="22" t="str">
        <x:v>Keyword A Business/Domain</x:v>
      </x:c>
      <x:c r="D535" s="22" t="str">
        <x:v>Page Type</x:v>
      </x:c>
      <x:c r="E535" s="22" t="str">
        <x:v>Rank</x:v>
      </x:c>
      <x:c r="F535" s="22" t="str">
        <x:v>Keyword B URL</x:v>
      </x:c>
      <x:c r="G535" s="22" t="str">
        <x:v>Keyword B Business/Domain</x:v>
      </x:c>
      <x:c r="H535" s="22" t="str">
        <x:v>Page Type</x:v>
      </x:c>
    </x:row>
    <x:row r="536">
      <x:c r="A536" s="45" t="n">
        <x:v>1</x:v>
      </x:c>
      <x:c r="B536" s="29"/>
      <x:c r="C536" s="29"/>
      <x:c r="D536" s="29"/>
      <x:c r="E536" s="51" t="n">
        <x:v>1</x:v>
      </x:c>
      <x:c r="F536" s="29"/>
      <x:c r="G536" s="29"/>
      <x:c r="H536" s="30"/>
    </x:row>
    <x:row r="537">
      <x:c r="A537" s="46" t="n">
        <x:v>2</x:v>
      </x:c>
      <x:c r="B537" s="32"/>
      <x:c r="C537" s="32"/>
      <x:c r="D537" s="32"/>
      <x:c r="E537" s="52" t="n">
        <x:v>2</x:v>
      </x:c>
      <x:c r="F537" s="32"/>
      <x:c r="G537" s="32"/>
      <x:c r="H537" s="33"/>
    </x:row>
    <x:row r="538">
      <x:c r="A538" s="46" t="n">
        <x:v>3</x:v>
      </x:c>
      <x:c r="B538" s="32"/>
      <x:c r="C538" s="32"/>
      <x:c r="D538" s="32"/>
      <x:c r="E538" s="52" t="n">
        <x:v>3</x:v>
      </x:c>
      <x:c r="F538" s="32"/>
      <x:c r="G538" s="32"/>
      <x:c r="H538" s="33"/>
    </x:row>
    <x:row r="539">
      <x:c r="A539" s="46" t="n">
        <x:v>4</x:v>
      </x:c>
      <x:c r="B539" s="32"/>
      <x:c r="C539" s="32"/>
      <x:c r="D539" s="32"/>
      <x:c r="E539" s="52" t="n">
        <x:v>4</x:v>
      </x:c>
      <x:c r="F539" s="32"/>
      <x:c r="G539" s="32"/>
      <x:c r="H539" s="33"/>
    </x:row>
    <x:row r="540">
      <x:c r="A540" s="46" t="n">
        <x:v>5</x:v>
      </x:c>
      <x:c r="B540" s="32"/>
      <x:c r="C540" s="32"/>
      <x:c r="D540" s="32"/>
      <x:c r="E540" s="52" t="n">
        <x:v>5</x:v>
      </x:c>
      <x:c r="F540" s="32"/>
      <x:c r="G540" s="32"/>
      <x:c r="H540" s="33"/>
    </x:row>
    <x:row r="541">
      <x:c r="A541" s="46" t="n">
        <x:v>6</x:v>
      </x:c>
      <x:c r="B541" s="32"/>
      <x:c r="C541" s="32"/>
      <x:c r="D541" s="32"/>
      <x:c r="E541" s="52" t="n">
        <x:v>6</x:v>
      </x:c>
      <x:c r="F541" s="32"/>
      <x:c r="G541" s="32"/>
      <x:c r="H541" s="33"/>
    </x:row>
    <x:row r="542">
      <x:c r="A542" s="46" t="n">
        <x:v>7</x:v>
      </x:c>
      <x:c r="B542" s="32"/>
      <x:c r="C542" s="32"/>
      <x:c r="D542" s="32"/>
      <x:c r="E542" s="52" t="n">
        <x:v>7</x:v>
      </x:c>
      <x:c r="F542" s="32"/>
      <x:c r="G542" s="32"/>
      <x:c r="H542" s="33"/>
    </x:row>
    <x:row r="543">
      <x:c r="A543" s="47" t="n">
        <x:v>8</x:v>
      </x:c>
      <x:c r="B543" s="35"/>
      <x:c r="C543" s="35"/>
      <x:c r="D543" s="35"/>
      <x:c r="E543" s="53" t="n">
        <x:v>8</x:v>
      </x:c>
      <x:c r="F543" s="35"/>
      <x:c r="G543" s="35"/>
      <x:c r="H543" s="36"/>
    </x:row>
    <x:row r="544">
      <x:c r="A544" s="57" t="str">
        <x:v>MATCH HIGHLIGHTS</x:v>
      </x:c>
      <x:c r="B544" s="57"/>
    </x:row>
    <x:row r="545">
      <x:c r="A545" s="60" t="str">
        <x:v>Exact URL</x:v>
      </x:c>
      <x:c r="B545" s="64" t="str">
        <x:v>Same business/domain</x:v>
      </x:c>
    </x:row>
    <x:row r="546">
      <x:c r="A546" s="8" t="str">
        <x:v>Overlap Signal</x:v>
      </x:c>
      <x:c r="D546" s="72" t="str">
        <x:v>FAST RULE
• 7–8 same URLs = strong overlap
• 3–6 same URLs = gray zone; discuss
• 0–2 same URLs = likely different intent
Use 5–8 organic results. Ignore ads, map packs, and duplicate sitelinks.</x:v>
      </x:c>
      <x:c r="E546" s="72"/>
      <x:c r="F546" s="72"/>
      <x:c r="G546" s="72"/>
      <x:c r="H546" s="72"/>
    </x:row>
    <x:row r="547">
      <x:c r="A547" s="8" t="str">
        <x:v>Same exact URL count</x:v>
      </x:c>
      <x:c r="B547" t="n">
        <x:f>SUMPRODUCT(--(B536:B543&lt;&gt;""),--(COUNTIF(F536:F543,B536:B543)&gt;0))</x:f>
        <x:v>0</x:v>
      </x:c>
      <x:c r="D547" s="72"/>
      <x:c r="E547" s="72"/>
      <x:c r="F547" s="72"/>
      <x:c r="G547" s="72"/>
      <x:c r="H547" s="72"/>
    </x:row>
    <x:row r="548">
      <x:c r="A548" s="8" t="str">
        <x:v>Same business/domain count</x:v>
      </x:c>
      <x:c r="B548" t="n">
        <x:f>SUMPRODUCT(--(C536:C543&lt;&gt;""),--(COUNTIF(G536:G543,C536:C543)&gt;0))</x:f>
        <x:v>0</x:v>
      </x:c>
      <x:c r="D548" s="72"/>
      <x:c r="E548" s="72"/>
      <x:c r="F548" s="72"/>
      <x:c r="G548" s="72"/>
      <x:c r="H548" s="72"/>
    </x:row>
    <x:row r="549">
      <x:c r="A549" s="8" t="str">
        <x:v>Same page-type count</x:v>
      </x:c>
      <x:c r="B549" t="n">
        <x:f>SUMPRODUCT(--(D536:D543&lt;&gt;""),--(COUNTIF(H536:H543,D536:D543)&gt;0))</x:f>
        <x:v>0</x:v>
      </x:c>
      <x:c r="D549" s="72"/>
      <x:c r="E549" s="72"/>
      <x:c r="F549" s="72"/>
      <x:c r="G549" s="72"/>
      <x:c r="H549" s="72"/>
    </x:row>
    <x:row r="550">
      <x:c r="A550" s="8" t="str">
        <x:v>Quick interpretation</x:v>
      </x:c>
      <x:c r="B550" s="67" t="str">
        <x:f>IF(B547&gt;=7,"Strong overlap: very likely the same search intent.",IF(B547&gt;=3,"GRAY ZONE: 3–6 shared URLs. Review page types, domains, and client priorities.",IF(B548&gt;=4,"Low exact overlap, but many of the same businesses rank with different pages.","Low overlap: likely a meaningfully different intent.")))</x:f>
        <x:v>Low overlap: likely a meaningfully different intent.</x:v>
      </x:c>
      <x:c r="C550" s="67"/>
      <x:c r="D550" s="67"/>
      <x:c r="E550" s="67"/>
      <x:c r="F550" s="67"/>
      <x:c r="G550" s="67"/>
      <x:c r="H550" s="67"/>
    </x:row>
    <x:row r="551">
      <x:c r="A551" s="8" t="str">
        <x:v>Recommended action</x:v>
      </x:c>
      <x:c r="B551" s="67" t="str">
        <x:f>IF(B547&gt;=7,"Keep these keywords in the same cluster/page.",IF(B547&gt;=3,"Discuss on the client call before deciding whether to split.",IF(B548&gt;=4,"Inspect which pages each business uses before splitting.","Consider separate clusters/pages if page types also differ.")))</x:f>
        <x:v>Consider separate clusters/pages if page types also differ.</x:v>
      </x:c>
      <x:c r="C551" s="67"/>
      <x:c r="D551" s="67"/>
      <x:c r="E551" s="67"/>
      <x:c r="F551" s="67"/>
      <x:c r="G551" s="67"/>
      <x:c r="H551" s="67"/>
    </x:row>
    <x:row r="552" ht="8" customHeight="1"/>
    <x:row r="553" ht="26" customHeight="1">
      <x:c r="A553" s="4" t="str">
        <x:v>SERP Overlap Quick Check — Comparison 24</x:v>
      </x:c>
      <x:c r="B553" s="4"/>
      <x:c r="C553" s="4"/>
      <x:c r="D553" s="4"/>
      <x:c r="E553" s="4"/>
      <x:c r="F553" s="4"/>
      <x:c r="G553" s="4"/>
      <x:c r="H553" s="4"/>
    </x:row>
    <x:row r="554">
      <x:c r="A554" s="8" t="str">
        <x:v>Cluster / Topic</x:v>
      </x:c>
      <x:c r="B554" s="14"/>
      <x:c r="C554" s="14"/>
      <x:c r="D554" s="14"/>
      <x:c r="E554" s="14"/>
      <x:c r="F554" s="14"/>
      <x:c r="G554" s="14"/>
      <x:c r="H554" s="14"/>
    </x:row>
    <x:row r="555">
      <x:c r="A555" s="8" t="str">
        <x:v>Keyword A</x:v>
      </x:c>
      <x:c r="B555" s="14"/>
      <x:c r="C555" s="14"/>
      <x:c r="D555" s="14"/>
      <x:c r="E555" s="14"/>
      <x:c r="F555" s="14"/>
      <x:c r="G555" s="14"/>
      <x:c r="H555" s="14"/>
    </x:row>
    <x:row r="556">
      <x:c r="A556" s="8" t="str">
        <x:v>Keyword B</x:v>
      </x:c>
      <x:c r="B556" s="14"/>
      <x:c r="C556" s="14"/>
      <x:c r="D556" s="14"/>
      <x:c r="E556" s="14"/>
      <x:c r="F556" s="14"/>
      <x:c r="G556" s="14"/>
      <x:c r="H556" s="14"/>
    </x:row>
    <x:row r="557">
      <x:c r="A557" s="8" t="str">
        <x:v>Decision</x:v>
      </x:c>
      <x:c r="B557" s="15" t="str">
        <x:f>B575</x:f>
        <x:v>Consider separate clusters/pages if page types also differ.</x:v>
      </x:c>
      <x:c r="C557" s="15"/>
      <x:c r="D557" s="15"/>
      <x:c r="E557" s="15"/>
      <x:c r="F557" s="15"/>
      <x:c r="G557" s="15"/>
      <x:c r="H557" s="15"/>
    </x:row>
    <x:row r="559">
      <x:c r="A559" s="22" t="str">
        <x:v>Rank</x:v>
      </x:c>
      <x:c r="B559" s="22" t="str">
        <x:v>Keyword A URL</x:v>
      </x:c>
      <x:c r="C559" s="22" t="str">
        <x:v>Keyword A Business/Domain</x:v>
      </x:c>
      <x:c r="D559" s="22" t="str">
        <x:v>Page Type</x:v>
      </x:c>
      <x:c r="E559" s="22" t="str">
        <x:v>Rank</x:v>
      </x:c>
      <x:c r="F559" s="22" t="str">
        <x:v>Keyword B URL</x:v>
      </x:c>
      <x:c r="G559" s="22" t="str">
        <x:v>Keyword B Business/Domain</x:v>
      </x:c>
      <x:c r="H559" s="22" t="str">
        <x:v>Page Type</x:v>
      </x:c>
    </x:row>
    <x:row r="560">
      <x:c r="A560" s="45" t="n">
        <x:v>1</x:v>
      </x:c>
      <x:c r="B560" s="29"/>
      <x:c r="C560" s="29"/>
      <x:c r="D560" s="29"/>
      <x:c r="E560" s="51" t="n">
        <x:v>1</x:v>
      </x:c>
      <x:c r="F560" s="29"/>
      <x:c r="G560" s="29"/>
      <x:c r="H560" s="30"/>
    </x:row>
    <x:row r="561">
      <x:c r="A561" s="46" t="n">
        <x:v>2</x:v>
      </x:c>
      <x:c r="B561" s="32"/>
      <x:c r="C561" s="32"/>
      <x:c r="D561" s="32"/>
      <x:c r="E561" s="52" t="n">
        <x:v>2</x:v>
      </x:c>
      <x:c r="F561" s="32"/>
      <x:c r="G561" s="32"/>
      <x:c r="H561" s="33"/>
    </x:row>
    <x:row r="562">
      <x:c r="A562" s="46" t="n">
        <x:v>3</x:v>
      </x:c>
      <x:c r="B562" s="32"/>
      <x:c r="C562" s="32"/>
      <x:c r="D562" s="32"/>
      <x:c r="E562" s="52" t="n">
        <x:v>3</x:v>
      </x:c>
      <x:c r="F562" s="32"/>
      <x:c r="G562" s="32"/>
      <x:c r="H562" s="33"/>
    </x:row>
    <x:row r="563">
      <x:c r="A563" s="46" t="n">
        <x:v>4</x:v>
      </x:c>
      <x:c r="B563" s="32"/>
      <x:c r="C563" s="32"/>
      <x:c r="D563" s="32"/>
      <x:c r="E563" s="52" t="n">
        <x:v>4</x:v>
      </x:c>
      <x:c r="F563" s="32"/>
      <x:c r="G563" s="32"/>
      <x:c r="H563" s="33"/>
    </x:row>
    <x:row r="564">
      <x:c r="A564" s="46" t="n">
        <x:v>5</x:v>
      </x:c>
      <x:c r="B564" s="32"/>
      <x:c r="C564" s="32"/>
      <x:c r="D564" s="32"/>
      <x:c r="E564" s="52" t="n">
        <x:v>5</x:v>
      </x:c>
      <x:c r="F564" s="32"/>
      <x:c r="G564" s="32"/>
      <x:c r="H564" s="33"/>
    </x:row>
    <x:row r="565">
      <x:c r="A565" s="46" t="n">
        <x:v>6</x:v>
      </x:c>
      <x:c r="B565" s="32"/>
      <x:c r="C565" s="32"/>
      <x:c r="D565" s="32"/>
      <x:c r="E565" s="52" t="n">
        <x:v>6</x:v>
      </x:c>
      <x:c r="F565" s="32"/>
      <x:c r="G565" s="32"/>
      <x:c r="H565" s="33"/>
    </x:row>
    <x:row r="566">
      <x:c r="A566" s="46" t="n">
        <x:v>7</x:v>
      </x:c>
      <x:c r="B566" s="32"/>
      <x:c r="C566" s="32"/>
      <x:c r="D566" s="32"/>
      <x:c r="E566" s="52" t="n">
        <x:v>7</x:v>
      </x:c>
      <x:c r="F566" s="32"/>
      <x:c r="G566" s="32"/>
      <x:c r="H566" s="33"/>
    </x:row>
    <x:row r="567">
      <x:c r="A567" s="47" t="n">
        <x:v>8</x:v>
      </x:c>
      <x:c r="B567" s="35"/>
      <x:c r="C567" s="35"/>
      <x:c r="D567" s="35"/>
      <x:c r="E567" s="53" t="n">
        <x:v>8</x:v>
      </x:c>
      <x:c r="F567" s="35"/>
      <x:c r="G567" s="35"/>
      <x:c r="H567" s="36"/>
    </x:row>
    <x:row r="568">
      <x:c r="A568" s="57" t="str">
        <x:v>MATCH HIGHLIGHTS</x:v>
      </x:c>
      <x:c r="B568" s="57"/>
    </x:row>
    <x:row r="569">
      <x:c r="A569" s="60" t="str">
        <x:v>Exact URL</x:v>
      </x:c>
      <x:c r="B569" s="64" t="str">
        <x:v>Same business/domain</x:v>
      </x:c>
    </x:row>
    <x:row r="570">
      <x:c r="A570" s="8" t="str">
        <x:v>Overlap Signal</x:v>
      </x:c>
      <x:c r="D570" s="72" t="str">
        <x:v>FAST RULE
• 7–8 same URLs = strong overlap
• 3–6 same URLs = gray zone; discuss
• 0–2 same URLs = likely different intent
Use 5–8 organic results. Ignore ads, map packs, and duplicate sitelinks.</x:v>
      </x:c>
      <x:c r="E570" s="72"/>
      <x:c r="F570" s="72"/>
      <x:c r="G570" s="72"/>
      <x:c r="H570" s="72"/>
    </x:row>
    <x:row r="571">
      <x:c r="A571" s="8" t="str">
        <x:v>Same exact URL count</x:v>
      </x:c>
      <x:c r="B571" t="n">
        <x:f>SUMPRODUCT(--(B560:B567&lt;&gt;""),--(COUNTIF(F560:F567,B560:B567)&gt;0))</x:f>
        <x:v>0</x:v>
      </x:c>
      <x:c r="D571" s="72"/>
      <x:c r="E571" s="72"/>
      <x:c r="F571" s="72"/>
      <x:c r="G571" s="72"/>
      <x:c r="H571" s="72"/>
    </x:row>
    <x:row r="572">
      <x:c r="A572" s="8" t="str">
        <x:v>Same business/domain count</x:v>
      </x:c>
      <x:c r="B572" t="n">
        <x:f>SUMPRODUCT(--(C560:C567&lt;&gt;""),--(COUNTIF(G560:G567,C560:C567)&gt;0))</x:f>
        <x:v>0</x:v>
      </x:c>
      <x:c r="D572" s="72"/>
      <x:c r="E572" s="72"/>
      <x:c r="F572" s="72"/>
      <x:c r="G572" s="72"/>
      <x:c r="H572" s="72"/>
    </x:row>
    <x:row r="573">
      <x:c r="A573" s="8" t="str">
        <x:v>Same page-type count</x:v>
      </x:c>
      <x:c r="B573" t="n">
        <x:f>SUMPRODUCT(--(D560:D567&lt;&gt;""),--(COUNTIF(H560:H567,D560:D567)&gt;0))</x:f>
        <x:v>0</x:v>
      </x:c>
      <x:c r="D573" s="72"/>
      <x:c r="E573" s="72"/>
      <x:c r="F573" s="72"/>
      <x:c r="G573" s="72"/>
      <x:c r="H573" s="72"/>
    </x:row>
    <x:row r="574">
      <x:c r="A574" s="8" t="str">
        <x:v>Quick interpretation</x:v>
      </x:c>
      <x:c r="B574" s="67" t="str">
        <x:f>IF(B571&gt;=7,"Strong overlap: very likely the same search intent.",IF(B571&gt;=3,"GRAY ZONE: 3–6 shared URLs. Review page types, domains, and client priorities.",IF(B572&gt;=4,"Low exact overlap, but many of the same businesses rank with different pages.","Low overlap: likely a meaningfully different intent.")))</x:f>
        <x:v>Low overlap: likely a meaningfully different intent.</x:v>
      </x:c>
      <x:c r="C574" s="67"/>
      <x:c r="D574" s="67"/>
      <x:c r="E574" s="67"/>
      <x:c r="F574" s="67"/>
      <x:c r="G574" s="67"/>
      <x:c r="H574" s="67"/>
    </x:row>
    <x:row r="575">
      <x:c r="A575" s="8" t="str">
        <x:v>Recommended action</x:v>
      </x:c>
      <x:c r="B575" s="67" t="str">
        <x:f>IF(B571&gt;=7,"Keep these keywords in the same cluster/page.",IF(B571&gt;=3,"Discuss on the client call before deciding whether to split.",IF(B572&gt;=4,"Inspect which pages each business uses before splitting.","Consider separate clusters/pages if page types also differ.")))</x:f>
        <x:v>Consider separate clusters/pages if page types also differ.</x:v>
      </x:c>
      <x:c r="C575" s="67"/>
      <x:c r="D575" s="67"/>
      <x:c r="E575" s="67"/>
      <x:c r="F575" s="67"/>
      <x:c r="G575" s="67"/>
      <x:c r="H575" s="67"/>
    </x:row>
    <x:row r="576" ht="8" customHeight="1"/>
    <x:row r="577" ht="26" customHeight="1">
      <x:c r="A577" s="4" t="str">
        <x:v>SERP Overlap Quick Check — Comparison 25</x:v>
      </x:c>
      <x:c r="B577" s="4"/>
      <x:c r="C577" s="4"/>
      <x:c r="D577" s="4"/>
      <x:c r="E577" s="4"/>
      <x:c r="F577" s="4"/>
      <x:c r="G577" s="4"/>
      <x:c r="H577" s="4"/>
    </x:row>
    <x:row r="578">
      <x:c r="A578" s="8" t="str">
        <x:v>Cluster / Topic</x:v>
      </x:c>
      <x:c r="B578" s="14"/>
      <x:c r="C578" s="14"/>
      <x:c r="D578" s="14"/>
      <x:c r="E578" s="14"/>
      <x:c r="F578" s="14"/>
      <x:c r="G578" s="14"/>
      <x:c r="H578" s="14"/>
    </x:row>
    <x:row r="579">
      <x:c r="A579" s="8" t="str">
        <x:v>Keyword A</x:v>
      </x:c>
      <x:c r="B579" s="14"/>
      <x:c r="C579" s="14"/>
      <x:c r="D579" s="14"/>
      <x:c r="E579" s="14"/>
      <x:c r="F579" s="14"/>
      <x:c r="G579" s="14"/>
      <x:c r="H579" s="14"/>
    </x:row>
    <x:row r="580">
      <x:c r="A580" s="8" t="str">
        <x:v>Keyword B</x:v>
      </x:c>
      <x:c r="B580" s="14"/>
      <x:c r="C580" s="14"/>
      <x:c r="D580" s="14"/>
      <x:c r="E580" s="14"/>
      <x:c r="F580" s="14"/>
      <x:c r="G580" s="14"/>
      <x:c r="H580" s="14"/>
    </x:row>
    <x:row r="581">
      <x:c r="A581" s="8" t="str">
        <x:v>Decision</x:v>
      </x:c>
      <x:c r="B581" s="15" t="str">
        <x:f>B599</x:f>
        <x:v>Consider separate clusters/pages if page types also differ.</x:v>
      </x:c>
      <x:c r="C581" s="15"/>
      <x:c r="D581" s="15"/>
      <x:c r="E581" s="15"/>
      <x:c r="F581" s="15"/>
      <x:c r="G581" s="15"/>
      <x:c r="H581" s="15"/>
    </x:row>
    <x:row r="583">
      <x:c r="A583" s="22" t="str">
        <x:v>Rank</x:v>
      </x:c>
      <x:c r="B583" s="22" t="str">
        <x:v>Keyword A URL</x:v>
      </x:c>
      <x:c r="C583" s="22" t="str">
        <x:v>Keyword A Business/Domain</x:v>
      </x:c>
      <x:c r="D583" s="22" t="str">
        <x:v>Page Type</x:v>
      </x:c>
      <x:c r="E583" s="22" t="str">
        <x:v>Rank</x:v>
      </x:c>
      <x:c r="F583" s="22" t="str">
        <x:v>Keyword B URL</x:v>
      </x:c>
      <x:c r="G583" s="22" t="str">
        <x:v>Keyword B Business/Domain</x:v>
      </x:c>
      <x:c r="H583" s="22" t="str">
        <x:v>Page Type</x:v>
      </x:c>
    </x:row>
    <x:row r="584">
      <x:c r="A584" s="45" t="n">
        <x:v>1</x:v>
      </x:c>
      <x:c r="B584" s="29"/>
      <x:c r="C584" s="29"/>
      <x:c r="D584" s="29"/>
      <x:c r="E584" s="51" t="n">
        <x:v>1</x:v>
      </x:c>
      <x:c r="F584" s="29"/>
      <x:c r="G584" s="29"/>
      <x:c r="H584" s="30"/>
    </x:row>
    <x:row r="585">
      <x:c r="A585" s="46" t="n">
        <x:v>2</x:v>
      </x:c>
      <x:c r="B585" s="32"/>
      <x:c r="C585" s="32"/>
      <x:c r="D585" s="32"/>
      <x:c r="E585" s="52" t="n">
        <x:v>2</x:v>
      </x:c>
      <x:c r="F585" s="32"/>
      <x:c r="G585" s="32"/>
      <x:c r="H585" s="33"/>
    </x:row>
    <x:row r="586">
      <x:c r="A586" s="46" t="n">
        <x:v>3</x:v>
      </x:c>
      <x:c r="B586" s="32"/>
      <x:c r="C586" s="32"/>
      <x:c r="D586" s="32"/>
      <x:c r="E586" s="52" t="n">
        <x:v>3</x:v>
      </x:c>
      <x:c r="F586" s="32"/>
      <x:c r="G586" s="32"/>
      <x:c r="H586" s="33"/>
    </x:row>
    <x:row r="587">
      <x:c r="A587" s="46" t="n">
        <x:v>4</x:v>
      </x:c>
      <x:c r="B587" s="32"/>
      <x:c r="C587" s="32"/>
      <x:c r="D587" s="32"/>
      <x:c r="E587" s="52" t="n">
        <x:v>4</x:v>
      </x:c>
      <x:c r="F587" s="32"/>
      <x:c r="G587" s="32"/>
      <x:c r="H587" s="33"/>
    </x:row>
    <x:row r="588">
      <x:c r="A588" s="46" t="n">
        <x:v>5</x:v>
      </x:c>
      <x:c r="B588" s="32"/>
      <x:c r="C588" s="32"/>
      <x:c r="D588" s="32"/>
      <x:c r="E588" s="52" t="n">
        <x:v>5</x:v>
      </x:c>
      <x:c r="F588" s="32"/>
      <x:c r="G588" s="32"/>
      <x:c r="H588" s="33"/>
    </x:row>
    <x:row r="589">
      <x:c r="A589" s="46" t="n">
        <x:v>6</x:v>
      </x:c>
      <x:c r="B589" s="32"/>
      <x:c r="C589" s="32"/>
      <x:c r="D589" s="32"/>
      <x:c r="E589" s="52" t="n">
        <x:v>6</x:v>
      </x:c>
      <x:c r="F589" s="32"/>
      <x:c r="G589" s="32"/>
      <x:c r="H589" s="33"/>
    </x:row>
    <x:row r="590">
      <x:c r="A590" s="46" t="n">
        <x:v>7</x:v>
      </x:c>
      <x:c r="B590" s="32"/>
      <x:c r="C590" s="32"/>
      <x:c r="D590" s="32"/>
      <x:c r="E590" s="52" t="n">
        <x:v>7</x:v>
      </x:c>
      <x:c r="F590" s="32"/>
      <x:c r="G590" s="32"/>
      <x:c r="H590" s="33"/>
    </x:row>
    <x:row r="591">
      <x:c r="A591" s="47" t="n">
        <x:v>8</x:v>
      </x:c>
      <x:c r="B591" s="35"/>
      <x:c r="C591" s="35"/>
      <x:c r="D591" s="35"/>
      <x:c r="E591" s="53" t="n">
        <x:v>8</x:v>
      </x:c>
      <x:c r="F591" s="35"/>
      <x:c r="G591" s="35"/>
      <x:c r="H591" s="36"/>
    </x:row>
    <x:row r="592">
      <x:c r="A592" s="57" t="str">
        <x:v>MATCH HIGHLIGHTS</x:v>
      </x:c>
      <x:c r="B592" s="57"/>
    </x:row>
    <x:row r="593">
      <x:c r="A593" s="60" t="str">
        <x:v>Exact URL</x:v>
      </x:c>
      <x:c r="B593" s="64" t="str">
        <x:v>Same business/domain</x:v>
      </x:c>
    </x:row>
    <x:row r="594">
      <x:c r="A594" s="8" t="str">
        <x:v>Overlap Signal</x:v>
      </x:c>
      <x:c r="D594" s="72" t="str">
        <x:v>FAST RULE
• 7–8 same URLs = strong overlap
• 3–6 same URLs = gray zone; discuss
• 0–2 same URLs = likely different intent
Use 5–8 organic results. Ignore ads, map packs, and duplicate sitelinks.</x:v>
      </x:c>
      <x:c r="E594" s="72"/>
      <x:c r="F594" s="72"/>
      <x:c r="G594" s="72"/>
      <x:c r="H594" s="72"/>
    </x:row>
    <x:row r="595">
      <x:c r="A595" s="8" t="str">
        <x:v>Same exact URL count</x:v>
      </x:c>
      <x:c r="B595" t="n">
        <x:f>SUMPRODUCT(--(B584:B591&lt;&gt;""),--(COUNTIF(F584:F591,B584:B591)&gt;0))</x:f>
        <x:v>0</x:v>
      </x:c>
      <x:c r="D595" s="72"/>
      <x:c r="E595" s="72"/>
      <x:c r="F595" s="72"/>
      <x:c r="G595" s="72"/>
      <x:c r="H595" s="72"/>
    </x:row>
    <x:row r="596">
      <x:c r="A596" s="8" t="str">
        <x:v>Same business/domain count</x:v>
      </x:c>
      <x:c r="B596" t="n">
        <x:f>SUMPRODUCT(--(C584:C591&lt;&gt;""),--(COUNTIF(G584:G591,C584:C591)&gt;0))</x:f>
        <x:v>0</x:v>
      </x:c>
      <x:c r="D596" s="72"/>
      <x:c r="E596" s="72"/>
      <x:c r="F596" s="72"/>
      <x:c r="G596" s="72"/>
      <x:c r="H596" s="72"/>
    </x:row>
    <x:row r="597">
      <x:c r="A597" s="8" t="str">
        <x:v>Same page-type count</x:v>
      </x:c>
      <x:c r="B597" t="n">
        <x:f>SUMPRODUCT(--(D584:D591&lt;&gt;""),--(COUNTIF(H584:H591,D584:D591)&gt;0))</x:f>
        <x:v>0</x:v>
      </x:c>
      <x:c r="D597" s="72"/>
      <x:c r="E597" s="72"/>
      <x:c r="F597" s="72"/>
      <x:c r="G597" s="72"/>
      <x:c r="H597" s="72"/>
    </x:row>
    <x:row r="598">
      <x:c r="A598" s="8" t="str">
        <x:v>Quick interpretation</x:v>
      </x:c>
      <x:c r="B598" s="67" t="str">
        <x:f>IF(B595&gt;=7,"Strong overlap: very likely the same search intent.",IF(B595&gt;=3,"GRAY ZONE: 3–6 shared URLs. Review page types, domains, and client priorities.",IF(B596&gt;=4,"Low exact overlap, but many of the same businesses rank with different pages.","Low overlap: likely a meaningfully different intent.")))</x:f>
        <x:v>Low overlap: likely a meaningfully different intent.</x:v>
      </x:c>
      <x:c r="C598" s="67"/>
      <x:c r="D598" s="67"/>
      <x:c r="E598" s="67"/>
      <x:c r="F598" s="67"/>
      <x:c r="G598" s="67"/>
      <x:c r="H598" s="67"/>
    </x:row>
    <x:row r="599">
      <x:c r="A599" s="8" t="str">
        <x:v>Recommended action</x:v>
      </x:c>
      <x:c r="B599" s="67" t="str">
        <x:f>IF(B595&gt;=7,"Keep these keywords in the same cluster/page.",IF(B595&gt;=3,"Discuss on the client call before deciding whether to split.",IF(B596&gt;=4,"Inspect which pages each business uses before splitting.","Consider separate clusters/pages if page types also differ.")))</x:f>
        <x:v>Consider separate clusters/pages if page types also differ.</x:v>
      </x:c>
      <x:c r="C599" s="67"/>
      <x:c r="D599" s="67"/>
      <x:c r="E599" s="67"/>
      <x:c r="F599" s="67"/>
      <x:c r="G599" s="67"/>
      <x:c r="H599" s="67"/>
    </x:row>
  </x:sheetData>
  <x:mergeCells>
    <x:mergeCell ref="A1:H1"/>
    <x:mergeCell ref="B2:H2"/>
    <x:mergeCell ref="B3:H3"/>
    <x:mergeCell ref="B4:H4"/>
    <x:mergeCell ref="B5:H5"/>
    <x:mergeCell ref="A16:B16"/>
    <x:mergeCell ref="B18:C18"/>
    <x:mergeCell ref="B19:C19"/>
    <x:mergeCell ref="B20:C20"/>
    <x:mergeCell ref="B21:C21"/>
    <x:mergeCell ref="B22:H22"/>
    <x:mergeCell ref="B23:H23"/>
    <x:mergeCell ref="D18:H21"/>
    <x:mergeCell ref="A25:H25"/>
    <x:mergeCell ref="B26:H26"/>
    <x:mergeCell ref="B27:H27"/>
    <x:mergeCell ref="B28:H28"/>
    <x:mergeCell ref="B29:H29"/>
    <x:mergeCell ref="A40:B40"/>
    <x:mergeCell ref="B42:C42"/>
    <x:mergeCell ref="B43:C43"/>
    <x:mergeCell ref="B44:C44"/>
    <x:mergeCell ref="B45:C45"/>
    <x:mergeCell ref="B46:H46"/>
    <x:mergeCell ref="B47:H47"/>
    <x:mergeCell ref="D42:H45"/>
    <x:mergeCell ref="A49:H49"/>
    <x:mergeCell ref="B50:H50"/>
    <x:mergeCell ref="B51:H51"/>
    <x:mergeCell ref="B52:H52"/>
    <x:mergeCell ref="B53:H53"/>
    <x:mergeCell ref="A64:B64"/>
    <x:mergeCell ref="B66:C66"/>
    <x:mergeCell ref="B67:C67"/>
    <x:mergeCell ref="B68:C68"/>
    <x:mergeCell ref="B69:C69"/>
    <x:mergeCell ref="B70:H70"/>
    <x:mergeCell ref="B71:H71"/>
    <x:mergeCell ref="D66:H69"/>
    <x:mergeCell ref="A73:H73"/>
    <x:mergeCell ref="B74:H74"/>
    <x:mergeCell ref="B75:H75"/>
    <x:mergeCell ref="B76:H76"/>
    <x:mergeCell ref="B77:H77"/>
    <x:mergeCell ref="A88:B88"/>
    <x:mergeCell ref="B90:C90"/>
    <x:mergeCell ref="B91:C91"/>
    <x:mergeCell ref="B92:C92"/>
    <x:mergeCell ref="B93:C93"/>
    <x:mergeCell ref="B94:H94"/>
    <x:mergeCell ref="B95:H95"/>
    <x:mergeCell ref="D90:H93"/>
    <x:mergeCell ref="A97:H97"/>
    <x:mergeCell ref="B98:H98"/>
    <x:mergeCell ref="B99:H99"/>
    <x:mergeCell ref="B100:H100"/>
    <x:mergeCell ref="B101:H101"/>
    <x:mergeCell ref="A112:B112"/>
    <x:mergeCell ref="B114:C114"/>
    <x:mergeCell ref="B115:C115"/>
    <x:mergeCell ref="B116:C116"/>
    <x:mergeCell ref="B117:C117"/>
    <x:mergeCell ref="B118:H118"/>
    <x:mergeCell ref="B119:H119"/>
    <x:mergeCell ref="D114:H117"/>
    <x:mergeCell ref="A121:H121"/>
    <x:mergeCell ref="B122:H122"/>
    <x:mergeCell ref="B123:H123"/>
    <x:mergeCell ref="B124:H124"/>
    <x:mergeCell ref="B125:H125"/>
    <x:mergeCell ref="A136:B136"/>
    <x:mergeCell ref="B138:C138"/>
    <x:mergeCell ref="B139:C139"/>
    <x:mergeCell ref="B140:C140"/>
    <x:mergeCell ref="B141:C141"/>
    <x:mergeCell ref="B142:H142"/>
    <x:mergeCell ref="B143:H143"/>
    <x:mergeCell ref="D138:H141"/>
    <x:mergeCell ref="A145:H145"/>
    <x:mergeCell ref="B146:H146"/>
    <x:mergeCell ref="B147:H147"/>
    <x:mergeCell ref="B148:H148"/>
    <x:mergeCell ref="B149:H149"/>
    <x:mergeCell ref="A160:B160"/>
    <x:mergeCell ref="B162:C162"/>
    <x:mergeCell ref="B163:C163"/>
    <x:mergeCell ref="B164:C164"/>
    <x:mergeCell ref="B165:C165"/>
    <x:mergeCell ref="B166:H166"/>
    <x:mergeCell ref="B167:H167"/>
    <x:mergeCell ref="D162:H165"/>
    <x:mergeCell ref="A169:H169"/>
    <x:mergeCell ref="B170:H170"/>
    <x:mergeCell ref="B171:H171"/>
    <x:mergeCell ref="B172:H172"/>
    <x:mergeCell ref="B173:H173"/>
    <x:mergeCell ref="A184:B184"/>
    <x:mergeCell ref="B186:C186"/>
    <x:mergeCell ref="B187:C187"/>
    <x:mergeCell ref="B188:C188"/>
    <x:mergeCell ref="B189:C189"/>
    <x:mergeCell ref="B190:H190"/>
    <x:mergeCell ref="B191:H191"/>
    <x:mergeCell ref="D186:H189"/>
    <x:mergeCell ref="A193:H193"/>
    <x:mergeCell ref="B194:H194"/>
    <x:mergeCell ref="B195:H195"/>
    <x:mergeCell ref="B196:H196"/>
    <x:mergeCell ref="B197:H197"/>
    <x:mergeCell ref="A208:B208"/>
    <x:mergeCell ref="B210:C210"/>
    <x:mergeCell ref="B211:C211"/>
    <x:mergeCell ref="B212:C212"/>
    <x:mergeCell ref="B213:C213"/>
    <x:mergeCell ref="B214:H214"/>
    <x:mergeCell ref="B215:H215"/>
    <x:mergeCell ref="D210:H213"/>
    <x:mergeCell ref="A217:H217"/>
    <x:mergeCell ref="B218:H218"/>
    <x:mergeCell ref="B219:H219"/>
    <x:mergeCell ref="B220:H220"/>
    <x:mergeCell ref="B221:H221"/>
    <x:mergeCell ref="A232:B232"/>
    <x:mergeCell ref="B234:C234"/>
    <x:mergeCell ref="B235:C235"/>
    <x:mergeCell ref="B236:C236"/>
    <x:mergeCell ref="B237:C237"/>
    <x:mergeCell ref="B238:H238"/>
    <x:mergeCell ref="B239:H239"/>
    <x:mergeCell ref="D234:H237"/>
    <x:mergeCell ref="A241:H241"/>
    <x:mergeCell ref="B242:H242"/>
    <x:mergeCell ref="B243:H243"/>
    <x:mergeCell ref="B244:H244"/>
    <x:mergeCell ref="B245:H245"/>
    <x:mergeCell ref="A256:B256"/>
    <x:mergeCell ref="B258:C258"/>
    <x:mergeCell ref="B259:C259"/>
    <x:mergeCell ref="B260:C260"/>
    <x:mergeCell ref="B261:C261"/>
    <x:mergeCell ref="B262:H262"/>
    <x:mergeCell ref="B263:H263"/>
    <x:mergeCell ref="D258:H261"/>
    <x:mergeCell ref="A265:H265"/>
    <x:mergeCell ref="B266:H266"/>
    <x:mergeCell ref="B267:H267"/>
    <x:mergeCell ref="B268:H268"/>
    <x:mergeCell ref="B269:H269"/>
    <x:mergeCell ref="A280:B280"/>
    <x:mergeCell ref="B282:C282"/>
    <x:mergeCell ref="B283:C283"/>
    <x:mergeCell ref="B284:C284"/>
    <x:mergeCell ref="B285:C285"/>
    <x:mergeCell ref="B286:H286"/>
    <x:mergeCell ref="B287:H287"/>
    <x:mergeCell ref="D282:H285"/>
    <x:mergeCell ref="A289:H289"/>
    <x:mergeCell ref="B290:H290"/>
    <x:mergeCell ref="B291:H291"/>
    <x:mergeCell ref="B292:H292"/>
    <x:mergeCell ref="B293:H293"/>
    <x:mergeCell ref="A304:B304"/>
    <x:mergeCell ref="B306:C306"/>
    <x:mergeCell ref="B307:C307"/>
    <x:mergeCell ref="B308:C308"/>
    <x:mergeCell ref="B309:C309"/>
    <x:mergeCell ref="B310:H310"/>
    <x:mergeCell ref="B311:H311"/>
    <x:mergeCell ref="D306:H309"/>
    <x:mergeCell ref="A313:H313"/>
    <x:mergeCell ref="B314:H314"/>
    <x:mergeCell ref="B315:H315"/>
    <x:mergeCell ref="B316:H316"/>
    <x:mergeCell ref="B317:H317"/>
    <x:mergeCell ref="A328:B328"/>
    <x:mergeCell ref="B330:C330"/>
    <x:mergeCell ref="B331:C331"/>
    <x:mergeCell ref="B332:C332"/>
    <x:mergeCell ref="B333:C333"/>
    <x:mergeCell ref="B334:H334"/>
    <x:mergeCell ref="B335:H335"/>
    <x:mergeCell ref="D330:H333"/>
    <x:mergeCell ref="A337:H337"/>
    <x:mergeCell ref="B338:H338"/>
    <x:mergeCell ref="B339:H339"/>
    <x:mergeCell ref="B340:H340"/>
    <x:mergeCell ref="B341:H341"/>
    <x:mergeCell ref="A352:B352"/>
    <x:mergeCell ref="B354:C354"/>
    <x:mergeCell ref="B355:C355"/>
    <x:mergeCell ref="B356:C356"/>
    <x:mergeCell ref="B357:C357"/>
    <x:mergeCell ref="B358:H358"/>
    <x:mergeCell ref="B359:H359"/>
    <x:mergeCell ref="D354:H357"/>
    <x:mergeCell ref="A361:H361"/>
    <x:mergeCell ref="B362:H362"/>
    <x:mergeCell ref="B363:H363"/>
    <x:mergeCell ref="B364:H364"/>
    <x:mergeCell ref="B365:H365"/>
    <x:mergeCell ref="A376:B376"/>
    <x:mergeCell ref="B378:C378"/>
    <x:mergeCell ref="B379:C379"/>
    <x:mergeCell ref="B380:C380"/>
    <x:mergeCell ref="B381:C381"/>
    <x:mergeCell ref="B382:H382"/>
    <x:mergeCell ref="B383:H383"/>
    <x:mergeCell ref="D378:H381"/>
    <x:mergeCell ref="A385:H385"/>
    <x:mergeCell ref="B386:H386"/>
    <x:mergeCell ref="B387:H387"/>
    <x:mergeCell ref="B388:H388"/>
    <x:mergeCell ref="B389:H389"/>
    <x:mergeCell ref="A400:B400"/>
    <x:mergeCell ref="B402:C402"/>
    <x:mergeCell ref="B403:C403"/>
    <x:mergeCell ref="B404:C404"/>
    <x:mergeCell ref="B405:C405"/>
    <x:mergeCell ref="B406:H406"/>
    <x:mergeCell ref="B407:H407"/>
    <x:mergeCell ref="D402:H405"/>
    <x:mergeCell ref="A409:H409"/>
    <x:mergeCell ref="B410:H410"/>
    <x:mergeCell ref="B411:H411"/>
    <x:mergeCell ref="B412:H412"/>
    <x:mergeCell ref="B413:H413"/>
    <x:mergeCell ref="A424:B424"/>
    <x:mergeCell ref="B426:C426"/>
    <x:mergeCell ref="B427:C427"/>
    <x:mergeCell ref="B428:C428"/>
    <x:mergeCell ref="B429:C429"/>
    <x:mergeCell ref="B430:H430"/>
    <x:mergeCell ref="B431:H431"/>
    <x:mergeCell ref="D426:H429"/>
    <x:mergeCell ref="A433:H433"/>
    <x:mergeCell ref="B434:H434"/>
    <x:mergeCell ref="B435:H435"/>
    <x:mergeCell ref="B436:H436"/>
    <x:mergeCell ref="B437:H437"/>
    <x:mergeCell ref="A448:B448"/>
    <x:mergeCell ref="B450:C450"/>
    <x:mergeCell ref="B451:C451"/>
    <x:mergeCell ref="B452:C452"/>
    <x:mergeCell ref="B453:C453"/>
    <x:mergeCell ref="B454:H454"/>
    <x:mergeCell ref="B455:H455"/>
    <x:mergeCell ref="D450:H453"/>
    <x:mergeCell ref="A457:H457"/>
    <x:mergeCell ref="B458:H458"/>
    <x:mergeCell ref="B459:H459"/>
    <x:mergeCell ref="B460:H460"/>
    <x:mergeCell ref="B461:H461"/>
    <x:mergeCell ref="A472:B472"/>
    <x:mergeCell ref="B474:C474"/>
    <x:mergeCell ref="B475:C475"/>
    <x:mergeCell ref="B476:C476"/>
    <x:mergeCell ref="B477:C477"/>
    <x:mergeCell ref="B478:H478"/>
    <x:mergeCell ref="B479:H479"/>
    <x:mergeCell ref="D474:H477"/>
    <x:mergeCell ref="A481:H481"/>
    <x:mergeCell ref="B482:H482"/>
    <x:mergeCell ref="B483:H483"/>
    <x:mergeCell ref="B484:H484"/>
    <x:mergeCell ref="B485:H485"/>
    <x:mergeCell ref="A496:B496"/>
    <x:mergeCell ref="B498:C498"/>
    <x:mergeCell ref="B499:C499"/>
    <x:mergeCell ref="B500:C500"/>
    <x:mergeCell ref="B501:C501"/>
    <x:mergeCell ref="B502:H502"/>
    <x:mergeCell ref="B503:H503"/>
    <x:mergeCell ref="D498:H501"/>
    <x:mergeCell ref="A505:H505"/>
    <x:mergeCell ref="B506:H506"/>
    <x:mergeCell ref="B507:H507"/>
    <x:mergeCell ref="B508:H508"/>
    <x:mergeCell ref="B509:H509"/>
    <x:mergeCell ref="A520:B520"/>
    <x:mergeCell ref="B522:C522"/>
    <x:mergeCell ref="B523:C523"/>
    <x:mergeCell ref="B524:C524"/>
    <x:mergeCell ref="B525:C525"/>
    <x:mergeCell ref="B526:H526"/>
    <x:mergeCell ref="B527:H527"/>
    <x:mergeCell ref="D522:H525"/>
    <x:mergeCell ref="A529:H529"/>
    <x:mergeCell ref="B530:H530"/>
    <x:mergeCell ref="B531:H531"/>
    <x:mergeCell ref="B532:H532"/>
    <x:mergeCell ref="B533:H533"/>
    <x:mergeCell ref="A544:B544"/>
    <x:mergeCell ref="B546:C546"/>
    <x:mergeCell ref="B547:C547"/>
    <x:mergeCell ref="B548:C548"/>
    <x:mergeCell ref="B549:C549"/>
    <x:mergeCell ref="B550:H550"/>
    <x:mergeCell ref="B551:H551"/>
    <x:mergeCell ref="D546:H549"/>
    <x:mergeCell ref="A553:H553"/>
    <x:mergeCell ref="B554:H554"/>
    <x:mergeCell ref="B555:H555"/>
    <x:mergeCell ref="B556:H556"/>
    <x:mergeCell ref="B557:H557"/>
    <x:mergeCell ref="A568:B568"/>
    <x:mergeCell ref="B570:C570"/>
    <x:mergeCell ref="B571:C571"/>
    <x:mergeCell ref="B572:C572"/>
    <x:mergeCell ref="B573:C573"/>
    <x:mergeCell ref="B574:H574"/>
    <x:mergeCell ref="B575:H575"/>
    <x:mergeCell ref="D570:H573"/>
    <x:mergeCell ref="A577:H577"/>
    <x:mergeCell ref="B578:H578"/>
    <x:mergeCell ref="B579:H579"/>
    <x:mergeCell ref="B580:H580"/>
    <x:mergeCell ref="B581:H581"/>
    <x:mergeCell ref="A592:B592"/>
    <x:mergeCell ref="B594:C594"/>
    <x:mergeCell ref="B595:C595"/>
    <x:mergeCell ref="B596:C596"/>
    <x:mergeCell ref="B597:C597"/>
    <x:mergeCell ref="B598:H598"/>
    <x:mergeCell ref="B599:H599"/>
    <x:mergeCell ref="D594:H597"/>
  </x:mergeCells>
  <x:conditionalFormatting sqref="B8:B15">
    <x:cfRule type="expression" dxfId="0" priority="1">
      <x:formula>AND(B8&lt;&gt;"",COUNTIF($F$8:$F$15,B8)&gt;0)</x:formula>
    </x:cfRule>
  </x:conditionalFormatting>
  <x:conditionalFormatting sqref="F8:F15">
    <x:cfRule type="expression" dxfId="1" priority="2">
      <x:formula>AND(F8&lt;&gt;"",COUNTIF($B$8:$B$15,F8)&gt;0)</x:formula>
    </x:cfRule>
  </x:conditionalFormatting>
  <x:conditionalFormatting sqref="C8:C15">
    <x:cfRule type="expression" dxfId="2" priority="3">
      <x:formula>AND(C8&lt;&gt;"",COUNTIF($G$8:$G$15,C8)&gt;0)</x:formula>
    </x:cfRule>
  </x:conditionalFormatting>
  <x:conditionalFormatting sqref="G8:G15">
    <x:cfRule type="expression" dxfId="3" priority="4">
      <x:formula>AND(G8&lt;&gt;"",COUNTIF($C$8:$C$15,G8)&gt;0)</x:formula>
    </x:cfRule>
  </x:conditionalFormatting>
  <x:conditionalFormatting sqref="B22:H23">
    <x:cfRule type="expression" dxfId="4" priority="5">
      <x:formula>AND($B$19&gt;=3,$B$19&lt;=6)</x:formula>
    </x:cfRule>
  </x:conditionalFormatting>
  <x:conditionalFormatting sqref="B32:B39">
    <x:cfRule type="expression" dxfId="5" priority="6">
      <x:formula>AND(B32&lt;&gt;"",COUNTIF($F$32:$F$39,B32)&gt;0)</x:formula>
    </x:cfRule>
  </x:conditionalFormatting>
  <x:conditionalFormatting sqref="F32:F39">
    <x:cfRule type="expression" dxfId="6" priority="7">
      <x:formula>AND(F32&lt;&gt;"",COUNTIF($B$32:$B$39,F32)&gt;0)</x:formula>
    </x:cfRule>
  </x:conditionalFormatting>
  <x:conditionalFormatting sqref="C32:C39">
    <x:cfRule type="expression" dxfId="7" priority="8">
      <x:formula>AND(C32&lt;&gt;"",COUNTIF($G$32:$G$39,C32)&gt;0)</x:formula>
    </x:cfRule>
  </x:conditionalFormatting>
  <x:conditionalFormatting sqref="G32:G39">
    <x:cfRule type="expression" dxfId="8" priority="9">
      <x:formula>AND(G32&lt;&gt;"",COUNTIF($C$32:$C$39,G32)&gt;0)</x:formula>
    </x:cfRule>
  </x:conditionalFormatting>
  <x:conditionalFormatting sqref="B46:H47">
    <x:cfRule type="expression" dxfId="9" priority="10">
      <x:formula>AND($B$43&gt;=3,$B$43&lt;=6)</x:formula>
    </x:cfRule>
  </x:conditionalFormatting>
  <x:conditionalFormatting sqref="B56:B63">
    <x:cfRule type="expression" dxfId="10" priority="11">
      <x:formula>AND(B56&lt;&gt;"",COUNTIF($F$56:$F$63,B56)&gt;0)</x:formula>
    </x:cfRule>
  </x:conditionalFormatting>
  <x:conditionalFormatting sqref="F56:F63">
    <x:cfRule type="expression" dxfId="11" priority="12">
      <x:formula>AND(F56&lt;&gt;"",COUNTIF($B$56:$B$63,F56)&gt;0)</x:formula>
    </x:cfRule>
  </x:conditionalFormatting>
  <x:conditionalFormatting sqref="C56:C63">
    <x:cfRule type="expression" dxfId="12" priority="13">
      <x:formula>AND(C56&lt;&gt;"",COUNTIF($G$56:$G$63,C56)&gt;0)</x:formula>
    </x:cfRule>
  </x:conditionalFormatting>
  <x:conditionalFormatting sqref="G56:G63">
    <x:cfRule type="expression" dxfId="13" priority="14">
      <x:formula>AND(G56&lt;&gt;"",COUNTIF($C$56:$C$63,G56)&gt;0)</x:formula>
    </x:cfRule>
  </x:conditionalFormatting>
  <x:conditionalFormatting sqref="B70:H71">
    <x:cfRule type="expression" dxfId="14" priority="15">
      <x:formula>AND($B$67&gt;=3,$B$67&lt;=6)</x:formula>
    </x:cfRule>
  </x:conditionalFormatting>
  <x:conditionalFormatting sqref="B80:B87">
    <x:cfRule type="expression" dxfId="15" priority="16">
      <x:formula>AND(B80&lt;&gt;"",COUNTIF($F$80:$F$87,B80)&gt;0)</x:formula>
    </x:cfRule>
  </x:conditionalFormatting>
  <x:conditionalFormatting sqref="F80:F87">
    <x:cfRule type="expression" dxfId="16" priority="17">
      <x:formula>AND(F80&lt;&gt;"",COUNTIF($B$80:$B$87,F80)&gt;0)</x:formula>
    </x:cfRule>
  </x:conditionalFormatting>
  <x:conditionalFormatting sqref="C80:C87">
    <x:cfRule type="expression" dxfId="17" priority="18">
      <x:formula>AND(C80&lt;&gt;"",COUNTIF($G$80:$G$87,C80)&gt;0)</x:formula>
    </x:cfRule>
  </x:conditionalFormatting>
  <x:conditionalFormatting sqref="G80:G87">
    <x:cfRule type="expression" dxfId="18" priority="19">
      <x:formula>AND(G80&lt;&gt;"",COUNTIF($C$80:$C$87,G80)&gt;0)</x:formula>
    </x:cfRule>
  </x:conditionalFormatting>
  <x:conditionalFormatting sqref="B94:H95">
    <x:cfRule type="expression" dxfId="19" priority="20">
      <x:formula>AND($B$91&gt;=3,$B$91&lt;=6)</x:formula>
    </x:cfRule>
  </x:conditionalFormatting>
  <x:conditionalFormatting sqref="B104:B111">
    <x:cfRule type="expression" dxfId="20" priority="21">
      <x:formula>AND(B104&lt;&gt;"",COUNTIF($F$104:$F$111,B104)&gt;0)</x:formula>
    </x:cfRule>
  </x:conditionalFormatting>
  <x:conditionalFormatting sqref="F104:F111">
    <x:cfRule type="expression" dxfId="21" priority="22">
      <x:formula>AND(F104&lt;&gt;"",COUNTIF($B$104:$B$111,F104)&gt;0)</x:formula>
    </x:cfRule>
  </x:conditionalFormatting>
  <x:conditionalFormatting sqref="C104:C111">
    <x:cfRule type="expression" dxfId="22" priority="23">
      <x:formula>AND(C104&lt;&gt;"",COUNTIF($G$104:$G$111,C104)&gt;0)</x:formula>
    </x:cfRule>
  </x:conditionalFormatting>
  <x:conditionalFormatting sqref="G104:G111">
    <x:cfRule type="expression" dxfId="23" priority="24">
      <x:formula>AND(G104&lt;&gt;"",COUNTIF($C$104:$C$111,G104)&gt;0)</x:formula>
    </x:cfRule>
  </x:conditionalFormatting>
  <x:conditionalFormatting sqref="B118:H119">
    <x:cfRule type="expression" dxfId="24" priority="25">
      <x:formula>AND($B$115&gt;=3,$B$115&lt;=6)</x:formula>
    </x:cfRule>
  </x:conditionalFormatting>
  <x:conditionalFormatting sqref="B128:B135">
    <x:cfRule type="expression" dxfId="25" priority="26">
      <x:formula>AND(B128&lt;&gt;"",COUNTIF($F$128:$F$135,B128)&gt;0)</x:formula>
    </x:cfRule>
  </x:conditionalFormatting>
  <x:conditionalFormatting sqref="F128:F135">
    <x:cfRule type="expression" dxfId="26" priority="27">
      <x:formula>AND(F128&lt;&gt;"",COUNTIF($B$128:$B$135,F128)&gt;0)</x:formula>
    </x:cfRule>
  </x:conditionalFormatting>
  <x:conditionalFormatting sqref="C128:C135">
    <x:cfRule type="expression" dxfId="27" priority="28">
      <x:formula>AND(C128&lt;&gt;"",COUNTIF($G$128:$G$135,C128)&gt;0)</x:formula>
    </x:cfRule>
  </x:conditionalFormatting>
  <x:conditionalFormatting sqref="G128:G135">
    <x:cfRule type="expression" dxfId="28" priority="29">
      <x:formula>AND(G128&lt;&gt;"",COUNTIF($C$128:$C$135,G128)&gt;0)</x:formula>
    </x:cfRule>
  </x:conditionalFormatting>
  <x:conditionalFormatting sqref="B142:H143">
    <x:cfRule type="expression" dxfId="29" priority="30">
      <x:formula>AND($B$139&gt;=3,$B$139&lt;=6)</x:formula>
    </x:cfRule>
  </x:conditionalFormatting>
  <x:conditionalFormatting sqref="B152:B159">
    <x:cfRule type="expression" dxfId="30" priority="31">
      <x:formula>AND(B152&lt;&gt;"",COUNTIF($F$152:$F$159,B152)&gt;0)</x:formula>
    </x:cfRule>
  </x:conditionalFormatting>
  <x:conditionalFormatting sqref="F152:F159">
    <x:cfRule type="expression" dxfId="31" priority="32">
      <x:formula>AND(F152&lt;&gt;"",COUNTIF($B$152:$B$159,F152)&gt;0)</x:formula>
    </x:cfRule>
  </x:conditionalFormatting>
  <x:conditionalFormatting sqref="C152:C159">
    <x:cfRule type="expression" dxfId="32" priority="33">
      <x:formula>AND(C152&lt;&gt;"",COUNTIF($G$152:$G$159,C152)&gt;0)</x:formula>
    </x:cfRule>
  </x:conditionalFormatting>
  <x:conditionalFormatting sqref="G152:G159">
    <x:cfRule type="expression" dxfId="33" priority="34">
      <x:formula>AND(G152&lt;&gt;"",COUNTIF($C$152:$C$159,G152)&gt;0)</x:formula>
    </x:cfRule>
  </x:conditionalFormatting>
  <x:conditionalFormatting sqref="B166:H167">
    <x:cfRule type="expression" dxfId="34" priority="35">
      <x:formula>AND($B$163&gt;=3,$B$163&lt;=6)</x:formula>
    </x:cfRule>
  </x:conditionalFormatting>
  <x:conditionalFormatting sqref="B176:B183">
    <x:cfRule type="expression" dxfId="35" priority="36">
      <x:formula>AND(B176&lt;&gt;"",COUNTIF($F$176:$F$183,B176)&gt;0)</x:formula>
    </x:cfRule>
  </x:conditionalFormatting>
  <x:conditionalFormatting sqref="F176:F183">
    <x:cfRule type="expression" dxfId="36" priority="37">
      <x:formula>AND(F176&lt;&gt;"",COUNTIF($B$176:$B$183,F176)&gt;0)</x:formula>
    </x:cfRule>
  </x:conditionalFormatting>
  <x:conditionalFormatting sqref="C176:C183">
    <x:cfRule type="expression" dxfId="37" priority="38">
      <x:formula>AND(C176&lt;&gt;"",COUNTIF($G$176:$G$183,C176)&gt;0)</x:formula>
    </x:cfRule>
  </x:conditionalFormatting>
  <x:conditionalFormatting sqref="G176:G183">
    <x:cfRule type="expression" dxfId="38" priority="39">
      <x:formula>AND(G176&lt;&gt;"",COUNTIF($C$176:$C$183,G176)&gt;0)</x:formula>
    </x:cfRule>
  </x:conditionalFormatting>
  <x:conditionalFormatting sqref="B190:H191">
    <x:cfRule type="expression" dxfId="39" priority="40">
      <x:formula>AND($B$187&gt;=3,$B$187&lt;=6)</x:formula>
    </x:cfRule>
  </x:conditionalFormatting>
  <x:conditionalFormatting sqref="B200:B207">
    <x:cfRule type="expression" dxfId="40" priority="41">
      <x:formula>AND(B200&lt;&gt;"",COUNTIF($F$200:$F$207,B200)&gt;0)</x:formula>
    </x:cfRule>
  </x:conditionalFormatting>
  <x:conditionalFormatting sqref="F200:F207">
    <x:cfRule type="expression" dxfId="41" priority="42">
      <x:formula>AND(F200&lt;&gt;"",COUNTIF($B$200:$B$207,F200)&gt;0)</x:formula>
    </x:cfRule>
  </x:conditionalFormatting>
  <x:conditionalFormatting sqref="C200:C207">
    <x:cfRule type="expression" dxfId="42" priority="43">
      <x:formula>AND(C200&lt;&gt;"",COUNTIF($G$200:$G$207,C200)&gt;0)</x:formula>
    </x:cfRule>
  </x:conditionalFormatting>
  <x:conditionalFormatting sqref="G200:G207">
    <x:cfRule type="expression" dxfId="43" priority="44">
      <x:formula>AND(G200&lt;&gt;"",COUNTIF($C$200:$C$207,G200)&gt;0)</x:formula>
    </x:cfRule>
  </x:conditionalFormatting>
  <x:conditionalFormatting sqref="B214:H215">
    <x:cfRule type="expression" dxfId="44" priority="45">
      <x:formula>AND($B$211&gt;=3,$B$211&lt;=6)</x:formula>
    </x:cfRule>
  </x:conditionalFormatting>
  <x:conditionalFormatting sqref="B224:B231">
    <x:cfRule type="expression" dxfId="45" priority="46">
      <x:formula>AND(B224&lt;&gt;"",COUNTIF($F$224:$F$231,B224)&gt;0)</x:formula>
    </x:cfRule>
  </x:conditionalFormatting>
  <x:conditionalFormatting sqref="F224:F231">
    <x:cfRule type="expression" dxfId="46" priority="47">
      <x:formula>AND(F224&lt;&gt;"",COUNTIF($B$224:$B$231,F224)&gt;0)</x:formula>
    </x:cfRule>
  </x:conditionalFormatting>
  <x:conditionalFormatting sqref="C224:C231">
    <x:cfRule type="expression" dxfId="47" priority="48">
      <x:formula>AND(C224&lt;&gt;"",COUNTIF($G$224:$G$231,C224)&gt;0)</x:formula>
    </x:cfRule>
  </x:conditionalFormatting>
  <x:conditionalFormatting sqref="G224:G231">
    <x:cfRule type="expression" dxfId="48" priority="49">
      <x:formula>AND(G224&lt;&gt;"",COUNTIF($C$224:$C$231,G224)&gt;0)</x:formula>
    </x:cfRule>
  </x:conditionalFormatting>
  <x:conditionalFormatting sqref="B238:H239">
    <x:cfRule type="expression" dxfId="49" priority="50">
      <x:formula>AND($B$235&gt;=3,$B$235&lt;=6)</x:formula>
    </x:cfRule>
  </x:conditionalFormatting>
  <x:conditionalFormatting sqref="B248:B255">
    <x:cfRule type="expression" dxfId="50" priority="51">
      <x:formula>AND(B248&lt;&gt;"",COUNTIF($F$248:$F$255,B248)&gt;0)</x:formula>
    </x:cfRule>
  </x:conditionalFormatting>
  <x:conditionalFormatting sqref="F248:F255">
    <x:cfRule type="expression" dxfId="51" priority="52">
      <x:formula>AND(F248&lt;&gt;"",COUNTIF($B$248:$B$255,F248)&gt;0)</x:formula>
    </x:cfRule>
  </x:conditionalFormatting>
  <x:conditionalFormatting sqref="C248:C255">
    <x:cfRule type="expression" dxfId="52" priority="53">
      <x:formula>AND(C248&lt;&gt;"",COUNTIF($G$248:$G$255,C248)&gt;0)</x:formula>
    </x:cfRule>
  </x:conditionalFormatting>
  <x:conditionalFormatting sqref="G248:G255">
    <x:cfRule type="expression" dxfId="53" priority="54">
      <x:formula>AND(G248&lt;&gt;"",COUNTIF($C$248:$C$255,G248)&gt;0)</x:formula>
    </x:cfRule>
  </x:conditionalFormatting>
  <x:conditionalFormatting sqref="B262:H263">
    <x:cfRule type="expression" dxfId="54" priority="55">
      <x:formula>AND($B$259&gt;=3,$B$259&lt;=6)</x:formula>
    </x:cfRule>
  </x:conditionalFormatting>
  <x:conditionalFormatting sqref="B272:B279">
    <x:cfRule type="expression" dxfId="55" priority="56">
      <x:formula>AND(B272&lt;&gt;"",COUNTIF($F$272:$F$279,B272)&gt;0)</x:formula>
    </x:cfRule>
  </x:conditionalFormatting>
  <x:conditionalFormatting sqref="F272:F279">
    <x:cfRule type="expression" dxfId="56" priority="57">
      <x:formula>AND(F272&lt;&gt;"",COUNTIF($B$272:$B$279,F272)&gt;0)</x:formula>
    </x:cfRule>
  </x:conditionalFormatting>
  <x:conditionalFormatting sqref="C272:C279">
    <x:cfRule type="expression" dxfId="57" priority="58">
      <x:formula>AND(C272&lt;&gt;"",COUNTIF($G$272:$G$279,C272)&gt;0)</x:formula>
    </x:cfRule>
  </x:conditionalFormatting>
  <x:conditionalFormatting sqref="G272:G279">
    <x:cfRule type="expression" dxfId="58" priority="59">
      <x:formula>AND(G272&lt;&gt;"",COUNTIF($C$272:$C$279,G272)&gt;0)</x:formula>
    </x:cfRule>
  </x:conditionalFormatting>
  <x:conditionalFormatting sqref="B286:H287">
    <x:cfRule type="expression" dxfId="59" priority="60">
      <x:formula>AND($B$283&gt;=3,$B$283&lt;=6)</x:formula>
    </x:cfRule>
  </x:conditionalFormatting>
  <x:conditionalFormatting sqref="B296:B303">
    <x:cfRule type="expression" dxfId="60" priority="61">
      <x:formula>AND(B296&lt;&gt;"",COUNTIF($F$296:$F$303,B296)&gt;0)</x:formula>
    </x:cfRule>
  </x:conditionalFormatting>
  <x:conditionalFormatting sqref="F296:F303">
    <x:cfRule type="expression" dxfId="61" priority="62">
      <x:formula>AND(F296&lt;&gt;"",COUNTIF($B$296:$B$303,F296)&gt;0)</x:formula>
    </x:cfRule>
  </x:conditionalFormatting>
  <x:conditionalFormatting sqref="C296:C303">
    <x:cfRule type="expression" dxfId="62" priority="63">
      <x:formula>AND(C296&lt;&gt;"",COUNTIF($G$296:$G$303,C296)&gt;0)</x:formula>
    </x:cfRule>
  </x:conditionalFormatting>
  <x:conditionalFormatting sqref="G296:G303">
    <x:cfRule type="expression" dxfId="63" priority="64">
      <x:formula>AND(G296&lt;&gt;"",COUNTIF($C$296:$C$303,G296)&gt;0)</x:formula>
    </x:cfRule>
  </x:conditionalFormatting>
  <x:conditionalFormatting sqref="B310:H311">
    <x:cfRule type="expression" dxfId="64" priority="65">
      <x:formula>AND($B$307&gt;=3,$B$307&lt;=6)</x:formula>
    </x:cfRule>
  </x:conditionalFormatting>
  <x:conditionalFormatting sqref="B320:B327">
    <x:cfRule type="expression" dxfId="65" priority="66">
      <x:formula>AND(B320&lt;&gt;"",COUNTIF($F$320:$F$327,B320)&gt;0)</x:formula>
    </x:cfRule>
  </x:conditionalFormatting>
  <x:conditionalFormatting sqref="F320:F327">
    <x:cfRule type="expression" dxfId="66" priority="67">
      <x:formula>AND(F320&lt;&gt;"",COUNTIF($B$320:$B$327,F320)&gt;0)</x:formula>
    </x:cfRule>
  </x:conditionalFormatting>
  <x:conditionalFormatting sqref="C320:C327">
    <x:cfRule type="expression" dxfId="67" priority="68">
      <x:formula>AND(C320&lt;&gt;"",COUNTIF($G$320:$G$327,C320)&gt;0)</x:formula>
    </x:cfRule>
  </x:conditionalFormatting>
  <x:conditionalFormatting sqref="G320:G327">
    <x:cfRule type="expression" dxfId="68" priority="69">
      <x:formula>AND(G320&lt;&gt;"",COUNTIF($C$320:$C$327,G320)&gt;0)</x:formula>
    </x:cfRule>
  </x:conditionalFormatting>
  <x:conditionalFormatting sqref="B334:H335">
    <x:cfRule type="expression" dxfId="69" priority="70">
      <x:formula>AND($B$331&gt;=3,$B$331&lt;=6)</x:formula>
    </x:cfRule>
  </x:conditionalFormatting>
  <x:conditionalFormatting sqref="B344:B351">
    <x:cfRule type="expression" dxfId="70" priority="71">
      <x:formula>AND(B344&lt;&gt;"",COUNTIF($F$344:$F$351,B344)&gt;0)</x:formula>
    </x:cfRule>
  </x:conditionalFormatting>
  <x:conditionalFormatting sqref="F344:F351">
    <x:cfRule type="expression" dxfId="71" priority="72">
      <x:formula>AND(F344&lt;&gt;"",COUNTIF($B$344:$B$351,F344)&gt;0)</x:formula>
    </x:cfRule>
  </x:conditionalFormatting>
  <x:conditionalFormatting sqref="C344:C351">
    <x:cfRule type="expression" dxfId="72" priority="73">
      <x:formula>AND(C344&lt;&gt;"",COUNTIF($G$344:$G$351,C344)&gt;0)</x:formula>
    </x:cfRule>
  </x:conditionalFormatting>
  <x:conditionalFormatting sqref="G344:G351">
    <x:cfRule type="expression" dxfId="73" priority="74">
      <x:formula>AND(G344&lt;&gt;"",COUNTIF($C$344:$C$351,G344)&gt;0)</x:formula>
    </x:cfRule>
  </x:conditionalFormatting>
  <x:conditionalFormatting sqref="B358:H359">
    <x:cfRule type="expression" dxfId="74" priority="75">
      <x:formula>AND($B$355&gt;=3,$B$355&lt;=6)</x:formula>
    </x:cfRule>
  </x:conditionalFormatting>
  <x:conditionalFormatting sqref="B368:B375">
    <x:cfRule type="expression" dxfId="75" priority="76">
      <x:formula>AND(B368&lt;&gt;"",COUNTIF($F$368:$F$375,B368)&gt;0)</x:formula>
    </x:cfRule>
  </x:conditionalFormatting>
  <x:conditionalFormatting sqref="F368:F375">
    <x:cfRule type="expression" dxfId="76" priority="77">
      <x:formula>AND(F368&lt;&gt;"",COUNTIF($B$368:$B$375,F368)&gt;0)</x:formula>
    </x:cfRule>
  </x:conditionalFormatting>
  <x:conditionalFormatting sqref="C368:C375">
    <x:cfRule type="expression" dxfId="77" priority="78">
      <x:formula>AND(C368&lt;&gt;"",COUNTIF($G$368:$G$375,C368)&gt;0)</x:formula>
    </x:cfRule>
  </x:conditionalFormatting>
  <x:conditionalFormatting sqref="G368:G375">
    <x:cfRule type="expression" dxfId="78" priority="79">
      <x:formula>AND(G368&lt;&gt;"",COUNTIF($C$368:$C$375,G368)&gt;0)</x:formula>
    </x:cfRule>
  </x:conditionalFormatting>
  <x:conditionalFormatting sqref="B382:H383">
    <x:cfRule type="expression" dxfId="79" priority="80">
      <x:formula>AND($B$379&gt;=3,$B$379&lt;=6)</x:formula>
    </x:cfRule>
  </x:conditionalFormatting>
  <x:conditionalFormatting sqref="B392:B399">
    <x:cfRule type="expression" dxfId="80" priority="81">
      <x:formula>AND(B392&lt;&gt;"",COUNTIF($F$392:$F$399,B392)&gt;0)</x:formula>
    </x:cfRule>
  </x:conditionalFormatting>
  <x:conditionalFormatting sqref="F392:F399">
    <x:cfRule type="expression" dxfId="81" priority="82">
      <x:formula>AND(F392&lt;&gt;"",COUNTIF($B$392:$B$399,F392)&gt;0)</x:formula>
    </x:cfRule>
  </x:conditionalFormatting>
  <x:conditionalFormatting sqref="C392:C399">
    <x:cfRule type="expression" dxfId="82" priority="83">
      <x:formula>AND(C392&lt;&gt;"",COUNTIF($G$392:$G$399,C392)&gt;0)</x:formula>
    </x:cfRule>
  </x:conditionalFormatting>
  <x:conditionalFormatting sqref="G392:G399">
    <x:cfRule type="expression" dxfId="83" priority="84">
      <x:formula>AND(G392&lt;&gt;"",COUNTIF($C$392:$C$399,G392)&gt;0)</x:formula>
    </x:cfRule>
  </x:conditionalFormatting>
  <x:conditionalFormatting sqref="B406:H407">
    <x:cfRule type="expression" dxfId="84" priority="85">
      <x:formula>AND($B$403&gt;=3,$B$403&lt;=6)</x:formula>
    </x:cfRule>
  </x:conditionalFormatting>
  <x:conditionalFormatting sqref="B416:B423">
    <x:cfRule type="expression" dxfId="85" priority="86">
      <x:formula>AND(B416&lt;&gt;"",COUNTIF($F$416:$F$423,B416)&gt;0)</x:formula>
    </x:cfRule>
  </x:conditionalFormatting>
  <x:conditionalFormatting sqref="F416:F423">
    <x:cfRule type="expression" dxfId="86" priority="87">
      <x:formula>AND(F416&lt;&gt;"",COUNTIF($B$416:$B$423,F416)&gt;0)</x:formula>
    </x:cfRule>
  </x:conditionalFormatting>
  <x:conditionalFormatting sqref="C416:C423">
    <x:cfRule type="expression" dxfId="87" priority="88">
      <x:formula>AND(C416&lt;&gt;"",COUNTIF($G$416:$G$423,C416)&gt;0)</x:formula>
    </x:cfRule>
  </x:conditionalFormatting>
  <x:conditionalFormatting sqref="G416:G423">
    <x:cfRule type="expression" dxfId="88" priority="89">
      <x:formula>AND(G416&lt;&gt;"",COUNTIF($C$416:$C$423,G416)&gt;0)</x:formula>
    </x:cfRule>
  </x:conditionalFormatting>
  <x:conditionalFormatting sqref="B430:H431">
    <x:cfRule type="expression" dxfId="89" priority="90">
      <x:formula>AND($B$427&gt;=3,$B$427&lt;=6)</x:formula>
    </x:cfRule>
  </x:conditionalFormatting>
  <x:conditionalFormatting sqref="B440:B447">
    <x:cfRule type="expression" dxfId="90" priority="91">
      <x:formula>AND(B440&lt;&gt;"",COUNTIF($F$440:$F$447,B440)&gt;0)</x:formula>
    </x:cfRule>
  </x:conditionalFormatting>
  <x:conditionalFormatting sqref="F440:F447">
    <x:cfRule type="expression" dxfId="91" priority="92">
      <x:formula>AND(F440&lt;&gt;"",COUNTIF($B$440:$B$447,F440)&gt;0)</x:formula>
    </x:cfRule>
  </x:conditionalFormatting>
  <x:conditionalFormatting sqref="C440:C447">
    <x:cfRule type="expression" dxfId="92" priority="93">
      <x:formula>AND(C440&lt;&gt;"",COUNTIF($G$440:$G$447,C440)&gt;0)</x:formula>
    </x:cfRule>
  </x:conditionalFormatting>
  <x:conditionalFormatting sqref="G440:G447">
    <x:cfRule type="expression" dxfId="93" priority="94">
      <x:formula>AND(G440&lt;&gt;"",COUNTIF($C$440:$C$447,G440)&gt;0)</x:formula>
    </x:cfRule>
  </x:conditionalFormatting>
  <x:conditionalFormatting sqref="B454:H455">
    <x:cfRule type="expression" dxfId="94" priority="95">
      <x:formula>AND($B$451&gt;=3,$B$451&lt;=6)</x:formula>
    </x:cfRule>
  </x:conditionalFormatting>
  <x:conditionalFormatting sqref="B464:B471">
    <x:cfRule type="expression" dxfId="95" priority="96">
      <x:formula>AND(B464&lt;&gt;"",COUNTIF($F$464:$F$471,B464)&gt;0)</x:formula>
    </x:cfRule>
  </x:conditionalFormatting>
  <x:conditionalFormatting sqref="F464:F471">
    <x:cfRule type="expression" dxfId="96" priority="97">
      <x:formula>AND(F464&lt;&gt;"",COUNTIF($B$464:$B$471,F464)&gt;0)</x:formula>
    </x:cfRule>
  </x:conditionalFormatting>
  <x:conditionalFormatting sqref="C464:C471">
    <x:cfRule type="expression" dxfId="97" priority="98">
      <x:formula>AND(C464&lt;&gt;"",COUNTIF($G$464:$G$471,C464)&gt;0)</x:formula>
    </x:cfRule>
  </x:conditionalFormatting>
  <x:conditionalFormatting sqref="G464:G471">
    <x:cfRule type="expression" dxfId="98" priority="99">
      <x:formula>AND(G464&lt;&gt;"",COUNTIF($C$464:$C$471,G464)&gt;0)</x:formula>
    </x:cfRule>
  </x:conditionalFormatting>
  <x:conditionalFormatting sqref="B478:H479">
    <x:cfRule type="expression" dxfId="99" priority="100">
      <x:formula>AND($B$475&gt;=3,$B$475&lt;=6)</x:formula>
    </x:cfRule>
  </x:conditionalFormatting>
  <x:conditionalFormatting sqref="B488:B495">
    <x:cfRule type="expression" dxfId="100" priority="101">
      <x:formula>AND(B488&lt;&gt;"",COUNTIF($F$488:$F$495,B488)&gt;0)</x:formula>
    </x:cfRule>
  </x:conditionalFormatting>
  <x:conditionalFormatting sqref="F488:F495">
    <x:cfRule type="expression" dxfId="101" priority="102">
      <x:formula>AND(F488&lt;&gt;"",COUNTIF($B$488:$B$495,F488)&gt;0)</x:formula>
    </x:cfRule>
  </x:conditionalFormatting>
  <x:conditionalFormatting sqref="C488:C495">
    <x:cfRule type="expression" dxfId="102" priority="103">
      <x:formula>AND(C488&lt;&gt;"",COUNTIF($G$488:$G$495,C488)&gt;0)</x:formula>
    </x:cfRule>
  </x:conditionalFormatting>
  <x:conditionalFormatting sqref="G488:G495">
    <x:cfRule type="expression" dxfId="103" priority="104">
      <x:formula>AND(G488&lt;&gt;"",COUNTIF($C$488:$C$495,G488)&gt;0)</x:formula>
    </x:cfRule>
  </x:conditionalFormatting>
  <x:conditionalFormatting sqref="B502:H503">
    <x:cfRule type="expression" dxfId="104" priority="105">
      <x:formula>AND($B$499&gt;=3,$B$499&lt;=6)</x:formula>
    </x:cfRule>
  </x:conditionalFormatting>
  <x:conditionalFormatting sqref="B512:B519">
    <x:cfRule type="expression" dxfId="105" priority="106">
      <x:formula>AND(B512&lt;&gt;"",COUNTIF($F$512:$F$519,B512)&gt;0)</x:formula>
    </x:cfRule>
  </x:conditionalFormatting>
  <x:conditionalFormatting sqref="F512:F519">
    <x:cfRule type="expression" dxfId="106" priority="107">
      <x:formula>AND(F512&lt;&gt;"",COUNTIF($B$512:$B$519,F512)&gt;0)</x:formula>
    </x:cfRule>
  </x:conditionalFormatting>
  <x:conditionalFormatting sqref="C512:C519">
    <x:cfRule type="expression" dxfId="107" priority="108">
      <x:formula>AND(C512&lt;&gt;"",COUNTIF($G$512:$G$519,C512)&gt;0)</x:formula>
    </x:cfRule>
  </x:conditionalFormatting>
  <x:conditionalFormatting sqref="G512:G519">
    <x:cfRule type="expression" dxfId="108" priority="109">
      <x:formula>AND(G512&lt;&gt;"",COUNTIF($C$512:$C$519,G512)&gt;0)</x:formula>
    </x:cfRule>
  </x:conditionalFormatting>
  <x:conditionalFormatting sqref="B526:H527">
    <x:cfRule type="expression" dxfId="109" priority="110">
      <x:formula>AND($B$523&gt;=3,$B$523&lt;=6)</x:formula>
    </x:cfRule>
  </x:conditionalFormatting>
  <x:conditionalFormatting sqref="B536:B543">
    <x:cfRule type="expression" dxfId="110" priority="111">
      <x:formula>AND(B536&lt;&gt;"",COUNTIF($F$536:$F$543,B536)&gt;0)</x:formula>
    </x:cfRule>
  </x:conditionalFormatting>
  <x:conditionalFormatting sqref="F536:F543">
    <x:cfRule type="expression" dxfId="111" priority="112">
      <x:formula>AND(F536&lt;&gt;"",COUNTIF($B$536:$B$543,F536)&gt;0)</x:formula>
    </x:cfRule>
  </x:conditionalFormatting>
  <x:conditionalFormatting sqref="C536:C543">
    <x:cfRule type="expression" dxfId="112" priority="113">
      <x:formula>AND(C536&lt;&gt;"",COUNTIF($G$536:$G$543,C536)&gt;0)</x:formula>
    </x:cfRule>
  </x:conditionalFormatting>
  <x:conditionalFormatting sqref="G536:G543">
    <x:cfRule type="expression" dxfId="113" priority="114">
      <x:formula>AND(G536&lt;&gt;"",COUNTIF($C$536:$C$543,G536)&gt;0)</x:formula>
    </x:cfRule>
  </x:conditionalFormatting>
  <x:conditionalFormatting sqref="B550:H551">
    <x:cfRule type="expression" dxfId="114" priority="115">
      <x:formula>AND($B$547&gt;=3,$B$547&lt;=6)</x:formula>
    </x:cfRule>
  </x:conditionalFormatting>
  <x:conditionalFormatting sqref="B560:B567">
    <x:cfRule type="expression" dxfId="115" priority="116">
      <x:formula>AND(B560&lt;&gt;"",COUNTIF($F$560:$F$567,B560)&gt;0)</x:formula>
    </x:cfRule>
  </x:conditionalFormatting>
  <x:conditionalFormatting sqref="F560:F567">
    <x:cfRule type="expression" dxfId="116" priority="117">
      <x:formula>AND(F560&lt;&gt;"",COUNTIF($B$560:$B$567,F560)&gt;0)</x:formula>
    </x:cfRule>
  </x:conditionalFormatting>
  <x:conditionalFormatting sqref="C560:C567">
    <x:cfRule type="expression" dxfId="117" priority="118">
      <x:formula>AND(C560&lt;&gt;"",COUNTIF($G$560:$G$567,C560)&gt;0)</x:formula>
    </x:cfRule>
  </x:conditionalFormatting>
  <x:conditionalFormatting sqref="G560:G567">
    <x:cfRule type="expression" dxfId="118" priority="119">
      <x:formula>AND(G560&lt;&gt;"",COUNTIF($C$560:$C$567,G560)&gt;0)</x:formula>
    </x:cfRule>
  </x:conditionalFormatting>
  <x:conditionalFormatting sqref="B574:H575">
    <x:cfRule type="expression" dxfId="119" priority="120">
      <x:formula>AND($B$571&gt;=3,$B$571&lt;=6)</x:formula>
    </x:cfRule>
  </x:conditionalFormatting>
  <x:conditionalFormatting sqref="B584:B591">
    <x:cfRule type="expression" dxfId="120" priority="121">
      <x:formula>AND(B584&lt;&gt;"",COUNTIF($F$584:$F$591,B584)&gt;0)</x:formula>
    </x:cfRule>
  </x:conditionalFormatting>
  <x:conditionalFormatting sqref="F584:F591">
    <x:cfRule type="expression" dxfId="121" priority="122">
      <x:formula>AND(F584&lt;&gt;"",COUNTIF($B$584:$B$591,F584)&gt;0)</x:formula>
    </x:cfRule>
  </x:conditionalFormatting>
  <x:conditionalFormatting sqref="C584:C591">
    <x:cfRule type="expression" dxfId="122" priority="123">
      <x:formula>AND(C584&lt;&gt;"",COUNTIF($G$584:$G$591,C584)&gt;0)</x:formula>
    </x:cfRule>
  </x:conditionalFormatting>
  <x:conditionalFormatting sqref="G584:G591">
    <x:cfRule type="expression" dxfId="123" priority="124">
      <x:formula>AND(G584&lt;&gt;"",COUNTIF($C$584:$C$591,G584)&gt;0)</x:formula>
    </x:cfRule>
  </x:conditionalFormatting>
  <x:conditionalFormatting sqref="B598:H599">
    <x:cfRule type="expression" dxfId="124" priority="125">
      <x:formula>AND($B$595&gt;=3,$B$595&lt;=6)</x:formula>
    </x:cfRule>
  </x:conditionalFormatting>
  <x:dataValidations count="50">
    <x:dataValidation type="list" sqref="D8:D15">
      <x:formula1>"Homepage,Service page,Location page,Directory,Blog/FAQ,Portfolio/Gallery,About page,Other"</x:formula1>
    </x:dataValidation>
    <x:dataValidation type="list" sqref="H8:H15">
      <x:formula1>"Homepage,Service page,Location page,Directory,Blog/FAQ,Portfolio/Gallery,About page,Other"</x:formula1>
    </x:dataValidation>
    <x:dataValidation type="list" sqref="D32:D39">
      <x:formula1>"Homepage,Service page,Location page,Directory,Blog/FAQ,Portfolio/Gallery,About page,Other"</x:formula1>
    </x:dataValidation>
    <x:dataValidation type="list" sqref="H32:H39">
      <x:formula1>"Homepage,Service page,Location page,Directory,Blog/FAQ,Portfolio/Gallery,About page,Other"</x:formula1>
    </x:dataValidation>
    <x:dataValidation type="list" sqref="D56:D63">
      <x:formula1>"Homepage,Service page,Location page,Directory,Blog/FAQ,Portfolio/Gallery,About page,Other"</x:formula1>
    </x:dataValidation>
    <x:dataValidation type="list" sqref="H56:H63">
      <x:formula1>"Homepage,Service page,Location page,Directory,Blog/FAQ,Portfolio/Gallery,About page,Other"</x:formula1>
    </x:dataValidation>
    <x:dataValidation type="list" sqref="D80:D87">
      <x:formula1>"Homepage,Service page,Location page,Directory,Blog/FAQ,Portfolio/Gallery,About page,Other"</x:formula1>
    </x:dataValidation>
    <x:dataValidation type="list" sqref="H80:H87">
      <x:formula1>"Homepage,Service page,Location page,Directory,Blog/FAQ,Portfolio/Gallery,About page,Other"</x:formula1>
    </x:dataValidation>
    <x:dataValidation type="list" sqref="D104:D111">
      <x:formula1>"Homepage,Service page,Location page,Directory,Blog/FAQ,Portfolio/Gallery,About page,Other"</x:formula1>
    </x:dataValidation>
    <x:dataValidation type="list" sqref="H104:H111">
      <x:formula1>"Homepage,Service page,Location page,Directory,Blog/FAQ,Portfolio/Gallery,About page,Other"</x:formula1>
    </x:dataValidation>
    <x:dataValidation type="list" sqref="D128:D135">
      <x:formula1>"Homepage,Service page,Location page,Directory,Blog/FAQ,Portfolio/Gallery,About page,Other"</x:formula1>
    </x:dataValidation>
    <x:dataValidation type="list" sqref="H128:H135">
      <x:formula1>"Homepage,Service page,Location page,Directory,Blog/FAQ,Portfolio/Gallery,About page,Other"</x:formula1>
    </x:dataValidation>
    <x:dataValidation type="list" sqref="D152:D159">
      <x:formula1>"Homepage,Service page,Location page,Directory,Blog/FAQ,Portfolio/Gallery,About page,Other"</x:formula1>
    </x:dataValidation>
    <x:dataValidation type="list" sqref="H152:H159">
      <x:formula1>"Homepage,Service page,Location page,Directory,Blog/FAQ,Portfolio/Gallery,About page,Other"</x:formula1>
    </x:dataValidation>
    <x:dataValidation type="list" sqref="D176:D183">
      <x:formula1>"Homepage,Service page,Location page,Directory,Blog/FAQ,Portfolio/Gallery,About page,Other"</x:formula1>
    </x:dataValidation>
    <x:dataValidation type="list" sqref="H176:H183">
      <x:formula1>"Homepage,Service page,Location page,Directory,Blog/FAQ,Portfolio/Gallery,About page,Other"</x:formula1>
    </x:dataValidation>
    <x:dataValidation type="list" sqref="D200:D207">
      <x:formula1>"Homepage,Service page,Location page,Directory,Blog/FAQ,Portfolio/Gallery,About page,Other"</x:formula1>
    </x:dataValidation>
    <x:dataValidation type="list" sqref="H200:H207">
      <x:formula1>"Homepage,Service page,Location page,Directory,Blog/FAQ,Portfolio/Gallery,About page,Other"</x:formula1>
    </x:dataValidation>
    <x:dataValidation type="list" sqref="D224:D231">
      <x:formula1>"Homepage,Service page,Location page,Directory,Blog/FAQ,Portfolio/Gallery,About page,Other"</x:formula1>
    </x:dataValidation>
    <x:dataValidation type="list" sqref="H224:H231">
      <x:formula1>"Homepage,Service page,Location page,Directory,Blog/FAQ,Portfolio/Gallery,About page,Other"</x:formula1>
    </x:dataValidation>
    <x:dataValidation type="list" sqref="D248:D255">
      <x:formula1>"Homepage,Service page,Location page,Directory,Blog/FAQ,Portfolio/Gallery,About page,Other"</x:formula1>
    </x:dataValidation>
    <x:dataValidation type="list" sqref="H248:H255">
      <x:formula1>"Homepage,Service page,Location page,Directory,Blog/FAQ,Portfolio/Gallery,About page,Other"</x:formula1>
    </x:dataValidation>
    <x:dataValidation type="list" sqref="D272:D279">
      <x:formula1>"Homepage,Service page,Location page,Directory,Blog/FAQ,Portfolio/Gallery,About page,Other"</x:formula1>
    </x:dataValidation>
    <x:dataValidation type="list" sqref="H272:H279">
      <x:formula1>"Homepage,Service page,Location page,Directory,Blog/FAQ,Portfolio/Gallery,About page,Other"</x:formula1>
    </x:dataValidation>
    <x:dataValidation type="list" sqref="D296:D303">
      <x:formula1>"Homepage,Service page,Location page,Directory,Blog/FAQ,Portfolio/Gallery,About page,Other"</x:formula1>
    </x:dataValidation>
    <x:dataValidation type="list" sqref="H296:H303">
      <x:formula1>"Homepage,Service page,Location page,Directory,Blog/FAQ,Portfolio/Gallery,About page,Other"</x:formula1>
    </x:dataValidation>
    <x:dataValidation type="list" sqref="D320:D327">
      <x:formula1>"Homepage,Service page,Location page,Directory,Blog/FAQ,Portfolio/Gallery,About page,Other"</x:formula1>
    </x:dataValidation>
    <x:dataValidation type="list" sqref="H320:H327">
      <x:formula1>"Homepage,Service page,Location page,Directory,Blog/FAQ,Portfolio/Gallery,About page,Other"</x:formula1>
    </x:dataValidation>
    <x:dataValidation type="list" sqref="D344:D351">
      <x:formula1>"Homepage,Service page,Location page,Directory,Blog/FAQ,Portfolio/Gallery,About page,Other"</x:formula1>
    </x:dataValidation>
    <x:dataValidation type="list" sqref="H344:H351">
      <x:formula1>"Homepage,Service page,Location page,Directory,Blog/FAQ,Portfolio/Gallery,About page,Other"</x:formula1>
    </x:dataValidation>
    <x:dataValidation type="list" sqref="D368:D375">
      <x:formula1>"Homepage,Service page,Location page,Directory,Blog/FAQ,Portfolio/Gallery,About page,Other"</x:formula1>
    </x:dataValidation>
    <x:dataValidation type="list" sqref="H368:H375">
      <x:formula1>"Homepage,Service page,Location page,Directory,Blog/FAQ,Portfolio/Gallery,About page,Other"</x:formula1>
    </x:dataValidation>
    <x:dataValidation type="list" sqref="D392:D399">
      <x:formula1>"Homepage,Service page,Location page,Directory,Blog/FAQ,Portfolio/Gallery,About page,Other"</x:formula1>
    </x:dataValidation>
    <x:dataValidation type="list" sqref="H392:H399">
      <x:formula1>"Homepage,Service page,Location page,Directory,Blog/FAQ,Portfolio/Gallery,About page,Other"</x:formula1>
    </x:dataValidation>
    <x:dataValidation type="list" sqref="D416:D423">
      <x:formula1>"Homepage,Service page,Location page,Directory,Blog/FAQ,Portfolio/Gallery,About page,Other"</x:formula1>
    </x:dataValidation>
    <x:dataValidation type="list" sqref="H416:H423">
      <x:formula1>"Homepage,Service page,Location page,Directory,Blog/FAQ,Portfolio/Gallery,About page,Other"</x:formula1>
    </x:dataValidation>
    <x:dataValidation type="list" sqref="D440:D447">
      <x:formula1>"Homepage,Service page,Location page,Directory,Blog/FAQ,Portfolio/Gallery,About page,Other"</x:formula1>
    </x:dataValidation>
    <x:dataValidation type="list" sqref="H440:H447">
      <x:formula1>"Homepage,Service page,Location page,Directory,Blog/FAQ,Portfolio/Gallery,About page,Other"</x:formula1>
    </x:dataValidation>
    <x:dataValidation type="list" sqref="D464:D471">
      <x:formula1>"Homepage,Service page,Location page,Directory,Blog/FAQ,Portfolio/Gallery,About page,Other"</x:formula1>
    </x:dataValidation>
    <x:dataValidation type="list" sqref="H464:H471">
      <x:formula1>"Homepage,Service page,Location page,Directory,Blog/FAQ,Portfolio/Gallery,About page,Other"</x:formula1>
    </x:dataValidation>
    <x:dataValidation type="list" sqref="D488:D495">
      <x:formula1>"Homepage,Service page,Location page,Directory,Blog/FAQ,Portfolio/Gallery,About page,Other"</x:formula1>
    </x:dataValidation>
    <x:dataValidation type="list" sqref="H488:H495">
      <x:formula1>"Homepage,Service page,Location page,Directory,Blog/FAQ,Portfolio/Gallery,About page,Other"</x:formula1>
    </x:dataValidation>
    <x:dataValidation type="list" sqref="D512:D519">
      <x:formula1>"Homepage,Service page,Location page,Directory,Blog/FAQ,Portfolio/Gallery,About page,Other"</x:formula1>
    </x:dataValidation>
    <x:dataValidation type="list" sqref="H512:H519">
      <x:formula1>"Homepage,Service page,Location page,Directory,Blog/FAQ,Portfolio/Gallery,About page,Other"</x:formula1>
    </x:dataValidation>
    <x:dataValidation type="list" sqref="D536:D543">
      <x:formula1>"Homepage,Service page,Location page,Directory,Blog/FAQ,Portfolio/Gallery,About page,Other"</x:formula1>
    </x:dataValidation>
    <x:dataValidation type="list" sqref="H536:H543">
      <x:formula1>"Homepage,Service page,Location page,Directory,Blog/FAQ,Portfolio/Gallery,About page,Other"</x:formula1>
    </x:dataValidation>
    <x:dataValidation type="list" sqref="D560:D567">
      <x:formula1>"Homepage,Service page,Location page,Directory,Blog/FAQ,Portfolio/Gallery,About page,Other"</x:formula1>
    </x:dataValidation>
    <x:dataValidation type="list" sqref="H560:H567">
      <x:formula1>"Homepage,Service page,Location page,Directory,Blog/FAQ,Portfolio/Gallery,About page,Other"</x:formula1>
    </x:dataValidation>
    <x:dataValidation type="list" sqref="D584:D591">
      <x:formula1>"Homepage,Service page,Location page,Directory,Blog/FAQ,Portfolio/Gallery,About page,Other"</x:formula1>
    </x:dataValidation>
    <x:dataValidation type="list" sqref="H584:H591">
      <x:formula1>"Homepage,Service page,Location page,Directory,Blog/FAQ,Portfolio/Gallery,About page,Other"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15" hidden="0" customWidth="1"/>
    <x:col min="5" max="5" width="18" hidden="0" customWidth="1"/>
    <x:col min="6" max="6" width="16" hidden="0" customWidth="1"/>
    <x:col min="7" max="7" width="31" hidden="0" customWidth="1"/>
    <x:col min="8" max="8" width="24" hidden="0" customWidth="1"/>
    <x:col min="9" max="9" width="14" hidden="0" customWidth="1"/>
    <x:col min="10" max="10" width="20" hidden="0" customWidth="1"/>
    <x:col min="11" max="11" width="30" hidden="0" customWidth="1"/>
    <x:col min="12" max="12" width="13" hidden="0" customWidth="1"/>
  </x:cols>
  <x:sheetData>
    <x:row r="1">
      <x:c r="A1" s="77" t="str">
        <x:v>SERP Pair Tracker — 25 Comparison Summary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</x:row>
    <x:row r="3">
      <x:c r="A3" s="22" t="str">
        <x:v>Cluster / Topic</x:v>
      </x:c>
      <x:c r="B3" s="22" t="str">
        <x:v>Keyword A</x:v>
      </x:c>
      <x:c r="C3" s="22" t="str">
        <x:v>Keyword B</x:v>
      </x:c>
      <x:c r="D3" s="22" t="str">
        <x:v>Exact URL Overlap (0–8)</x:v>
      </x:c>
      <x:c r="E3" s="22" t="str">
        <x:v>Same Domain, Different Page (0–8)</x:v>
      </x:c>
      <x:c r="F3" s="22" t="str">
        <x:v>Same Page-Type Count (0–8)</x:v>
      </x:c>
      <x:c r="G3" s="22" t="str">
        <x:v>Auto Read</x:v>
      </x:c>
      <x:c r="H3" s="22" t="str">
        <x:v>Human / Client Read</x:v>
      </x:c>
      <x:c r="I3" s="22" t="str">
        <x:v>Same Cluster?</x:v>
      </x:c>
      <x:c r="J3" s="22" t="str">
        <x:v>Primary Page</x:v>
      </x:c>
      <x:c r="K3" s="22" t="str">
        <x:v>Notes</x:v>
      </x:c>
      <x:c r="L3" s="22" t="str">
        <x:v>Checked On</x:v>
      </x:c>
    </x:row>
    <x:row r="4">
      <x:c r="A4" s="67" t="str">
        <x:f>IF('Quick Compare'!B2="","",'Quick Compare'!B2)</x:f>
      </x:c>
      <x:c r="B4" s="67" t="str">
        <x:f>IF('Quick Compare'!B3="","",'Quick Compare'!B3)</x:f>
      </x:c>
      <x:c r="C4" s="67" t="str">
        <x:f>IF('Quick Compare'!B4="","",'Quick Compare'!B4)</x:f>
      </x:c>
      <x:c r="D4" s="67" t="str">
        <x:f>IF(B4="","",'Quick Compare'!B19)</x:f>
      </x:c>
      <x:c r="E4" s="67" t="str">
        <x:f>IF(B4="","",MAX(0,'Quick Compare'!B20-'Quick Compare'!B19))</x:f>
      </x:c>
      <x:c r="F4" s="67" t="str">
        <x:f>IF(B4="","",'Quick Compare'!B21)</x:f>
      </x:c>
      <x:c r="G4" s="67" t="str">
        <x:f>IF(B4="","",'Quick Compare'!B22)</x:f>
      </x:c>
      <x:c r="H4" s="67"/>
      <x:c r="I4" s="67"/>
      <x:c r="J4" s="67" t="str">
        <x:f>IF(B4="","",IF(MAX((COUNTIF('Quick Compare'!D8:D15,"Homepage")+COUNTIF('Quick Compare'!H8:H15,"Homepage")),(COUNTIF('Quick Compare'!D8:D15,"Service page")+COUNTIF('Quick Compare'!H8:H15,"Service page")),(COUNTIF('Quick Compare'!D8:D15,"Location page")+COUNTIF('Quick Compare'!H8:H15,"Location page")),(COUNTIF('Quick Compare'!D8:D15,"Directory")+COUNTIF('Quick Compare'!H8:H15,"Directory")),(COUNTIF('Quick Compare'!D8:D15,"Blog/FAQ")+COUNTIF('Quick Compare'!H8:H15,"Blog/FAQ")),(COUNTIF('Quick Compare'!D8:D15,"Portfolio/Gallery")+COUNTIF('Quick Compare'!H8:H15,"Portfolio/Gallery")),(COUNTIF('Quick Compare'!D8:D15,"About page")+COUNTIF('Quick Compare'!H8:H15,"About page")),(COUNTIF('Quick Compare'!D8:D15,"Other")+COUNTIF('Quick Compare'!H8:H15,"Other")))=0,"",IF((--((COUNTIF('Quick Compare'!D8:D15,"Homepage")+COUNTIF('Quick Compare'!H8:H15,"Homepage"))=MAX((COUNTIF('Quick Compare'!D8:D15,"Homepage")+COUNTIF('Quick Compare'!H8:H15,"Homepage")),(COUNTIF('Quick Compare'!D8:D15,"Service page")+COUNTIF('Quick Compare'!H8:H15,"Service page")),(COUNTIF('Quick Compare'!D8:D15,"Location page")+COUNTIF('Quick Compare'!H8:H15,"Location page")),(COUNTIF('Quick Compare'!D8:D15,"Directory")+COUNTIF('Quick Compare'!H8:H15,"Directory")),(COUNTIF('Quick Compare'!D8:D15,"Blog/FAQ")+COUNTIF('Quick Compare'!H8:H15,"Blog/FAQ")),(COUNTIF('Quick Compare'!D8:D15,"Portfolio/Gallery")+COUNTIF('Quick Compare'!H8:H15,"Portfolio/Gallery")),(COUNTIF('Quick Compare'!D8:D15,"About page")+COUNTIF('Quick Compare'!H8:H15,"About page")),(COUNTIF('Quick Compare'!D8:D15,"Other")+COUNTIF('Quick Compare'!H8:H15,"Other"))))+--((COUNTIF('Quick Compare'!D8:D15,"Service page")+COUNTIF('Quick Compare'!H8:H15,"Service page"))=MAX((COUNTIF('Quick Compare'!D8:D15,"Homepage")+COUNTIF('Quick Compare'!H8:H15,"Homepage")),(COUNTIF('Quick Compare'!D8:D15,"Service page")+COUNTIF('Quick Compare'!H8:H15,"Service page")),(COUNTIF('Quick Compare'!D8:D15,"Location page")+COUNTIF('Quick Compare'!H8:H15,"Location page")),(COUNTIF('Quick Compare'!D8:D15,"Directory")+COUNTIF('Quick Compare'!H8:H15,"Directory")),(COUNTIF('Quick Compare'!D8:D15,"Blog/FAQ")+COUNTIF('Quick Compare'!H8:H15,"Blog/FAQ")),(COUNTIF('Quick Compare'!D8:D15,"Portfolio/Gallery")+COUNTIF('Quick Compare'!H8:H15,"Portfolio/Gallery")),(COUNTIF('Quick Compare'!D8:D15,"About page")+COUNTIF('Quick Compare'!H8:H15,"About page")),(COUNTIF('Quick Compare'!D8:D15,"Other")+COUNTIF('Quick Compare'!H8:H15,"Other"))))+--((COUNTIF('Quick Compare'!D8:D15,"Location page")+COUNTIF('Quick Compare'!H8:H15,"Location page"))=MAX((COUNTIF('Quick Compare'!D8:D15,"Homepage")+COUNTIF('Quick Compare'!H8:H15,"Homepage")),(COUNTIF('Quick Compare'!D8:D15,"Service page")+COUNTIF('Quick Compare'!H8:H15,"Service page")),(COUNTIF('Quick Compare'!D8:D15,"Location page")+COUNTIF('Quick Compare'!H8:H15,"Location page")),(COUNTIF('Quick Compare'!D8:D15,"Directory")+COUNTIF('Quick Compare'!H8:H15,"Directory")),(COUNTIF('Quick Compare'!D8:D15,"Blog/FAQ")+COUNTIF('Quick Compare'!H8:H15,"Blog/FAQ")),(COUNTIF('Quick Compare'!D8:D15,"Portfolio/Gallery")+COUNTIF('Quick Compare'!H8:H15,"Portfolio/Gallery")),(COUNTIF('Quick Compare'!D8:D15,"About page")+COUNTIF('Quick Compare'!H8:H15,"About page")),(COUNTIF('Quick Compare'!D8:D15,"Other")+COUNTIF('Quick Compare'!H8:H15,"Other"))))+--((COUNTIF('Quick Compare'!D8:D15,"Directory")+COUNTIF('Quick Compare'!H8:H15,"Directory"))=MAX((COUNTIF('Quick Compare'!D8:D15,"Homepage")+COUNTIF('Quick Compare'!H8:H15,"Homepage")),(COUNTIF('Quick Compare'!D8:D15,"Service page")+COUNTIF('Quick Compare'!H8:H15,"Service page")),(COUNTIF('Quick Compare'!D8:D15,"Location page")+COUNTIF('Quick Compare'!H8:H15,"Location page")),(COUNTIF('Quick Compare'!D8:D15,"Directory")+COUNTIF('Quick Compare'!H8:H15,"Directory")),(COUNTIF('Quick Compare'!D8:D15,"Blog/FAQ")+COUNTIF('Quick Compare'!H8:H15,"Blog/FAQ")),(COUNTIF('Quick Compare'!D8:D15,"Portfolio/Gallery")+COUNTIF('Quick Compare'!H8:H15,"Portfolio/Gallery")),(COUNTIF('Quick Compare'!D8:D15,"About page")+COUNTIF('Quick Compare'!H8:H15,"About page")),(COUNTIF('Quick Compare'!D8:D15,"Other")+COUNTIF('Quick Compare'!H8:H15,"Other"))))+--((COUNTIF('Quick Compare'!D8:D15,"Blog/FAQ")+COUNTIF('Quick Compare'!H8:H15,"Blog/FAQ"))=MAX((COUNTIF('Quick Compare'!D8:D15,"Homepage")+COUNTIF('Quick Compare'!H8:H15,"Homepage")),(COUNTIF('Quick Compare'!D8:D15,"Service page")+COUNTIF('Quick Compare'!H8:H15,"Service page")),(COUNTIF('Quick Compare'!D8:D15,"Location page")+COUNTIF('Quick Compare'!H8:H15,"Location page")),(COUNTIF('Quick Compare'!D8:D15,"Directory")+COUNTIF('Quick Compare'!H8:H15,"Directory")),(COUNTIF('Quick Compare'!D8:D15,"Blog/FAQ")+COUNTIF('Quick Compare'!H8:H15,"Blog/FAQ")),(COUNTIF('Quick Compare'!D8:D15,"Portfolio/Gallery")+COUNTIF('Quick Compare'!H8:H15,"Portfolio/Gallery")),(COUNTIF('Quick Compare'!D8:D15,"About page")+COUNTIF('Quick Compare'!H8:H15,"About page")),(COUNTIF('Quick Compare'!D8:D15,"Other")+COUNTIF('Quick Compare'!H8:H15,"Other"))))+--((COUNTIF('Quick Compare'!D8:D15,"Portfolio/Gallery")+COUNTIF('Quick Compare'!H8:H15,"Portfolio/Gallery"))=MAX((COUNTIF('Quick Compare'!D8:D15,"Homepage")+COUNTIF('Quick Compare'!H8:H15,"Homepage")),(COUNTIF('Quick Compare'!D8:D15,"Service page")+COUNTIF('Quick Compare'!H8:H15,"Service page")),(COUNTIF('Quick Compare'!D8:D15,"Location page")+COUNTIF('Quick Compare'!H8:H15,"Location page")),(COUNTIF('Quick Compare'!D8:D15,"Directory")+COUNTIF('Quick Compare'!H8:H15,"Directory")),(COUNTIF('Quick Compare'!D8:D15,"Blog/FAQ")+COUNTIF('Quick Compare'!H8:H15,"Blog/FAQ")),(COUNTIF('Quick Compare'!D8:D15,"Portfolio/Gallery")+COUNTIF('Quick Compare'!H8:H15,"Portfolio/Gallery")),(COUNTIF('Quick Compare'!D8:D15,"About page")+COUNTIF('Quick Compare'!H8:H15,"About page")),(COUNTIF('Quick Compare'!D8:D15,"Other")+COUNTIF('Quick Compare'!H8:H15,"Other"))))+--((COUNTIF('Quick Compare'!D8:D15,"About page")+COUNTIF('Quick Compare'!H8:H15,"About page"))=MAX((COUNTIF('Quick Compare'!D8:D15,"Homepage")+COUNTIF('Quick Compare'!H8:H15,"Homepage")),(COUNTIF('Quick Compare'!D8:D15,"Service page")+COUNTIF('Quick Compare'!H8:H15,"Service page")),(COUNTIF('Quick Compare'!D8:D15,"Location page")+COUNTIF('Quick Compare'!H8:H15,"Location page")),(COUNTIF('Quick Compare'!D8:D15,"Directory")+COUNTIF('Quick Compare'!H8:H15,"Directory")),(COUNTIF('Quick Compare'!D8:D15,"Blog/FAQ")+COUNTIF('Quick Compare'!H8:H15,"Blog/FAQ")),(COUNTIF('Quick Compare'!D8:D15,"Portfolio/Gallery")+COUNTIF('Quick Compare'!H8:H15,"Portfolio/Gallery")),(COUNTIF('Quick Compare'!D8:D15,"About page")+COUNTIF('Quick Compare'!H8:H15,"About page")),(COUNTIF('Quick Compare'!D8:D15,"Other")+COUNTIF('Quick Compare'!H8:H15,"Other"))))+--((COUNTIF('Quick Compare'!D8:D15,"Other")+COUNTIF('Quick Compare'!H8:H15,"Other"))=MAX((COUNTIF('Quick Compare'!D8:D15,"Homepage")+COUNTIF('Quick Compare'!H8:H15,"Homepage")),(COUNTIF('Quick Compare'!D8:D15,"Service page")+COUNTIF('Quick Compare'!H8:H15,"Service page")),(COUNTIF('Quick Compare'!D8:D15,"Location page")+COUNTIF('Quick Compare'!H8:H15,"Location page")),(COUNTIF('Quick Compare'!D8:D15,"Directory")+COUNTIF('Quick Compare'!H8:H15,"Directory")),(COUNTIF('Quick Compare'!D8:D15,"Blog/FAQ")+COUNTIF('Quick Compare'!H8:H15,"Blog/FAQ")),(COUNTIF('Quick Compare'!D8:D15,"Portfolio/Gallery")+COUNTIF('Quick Compare'!H8:H15,"Portfolio/Gallery")),(COUNTIF('Quick Compare'!D8:D15,"About page")+COUNTIF('Quick Compare'!H8:H15,"About page")),(COUNTIF('Quick Compare'!D8:D15,"Other")+COUNTIF('Quick Compare'!H8:H15,"Other")))))&gt;1,"Tie / review",IF((COUNTIF('Quick Compare'!D8:D15,"Homepage")+COUNTIF('Quick Compare'!H8:H15,"Homepage"))=MAX((COUNTIF('Quick Compare'!D8:D15,"Homepage")+COUNTIF('Quick Compare'!H8:H15,"Homepage")),(COUNTIF('Quick Compare'!D8:D15,"Service page")+COUNTIF('Quick Compare'!H8:H15,"Service page")),(COUNTIF('Quick Compare'!D8:D15,"Location page")+COUNTIF('Quick Compare'!H8:H15,"Location page")),(COUNTIF('Quick Compare'!D8:D15,"Directory")+COUNTIF('Quick Compare'!H8:H15,"Directory")),(COUNTIF('Quick Compare'!D8:D15,"Blog/FAQ")+COUNTIF('Quick Compare'!H8:H15,"Blog/FAQ")),(COUNTIF('Quick Compare'!D8:D15,"Portfolio/Gallery")+COUNTIF('Quick Compare'!H8:H15,"Portfolio/Gallery")),(COUNTIF('Quick Compare'!D8:D15,"About page")+COUNTIF('Quick Compare'!H8:H15,"About page")),(COUNTIF('Quick Compare'!D8:D15,"Other")+COUNTIF('Quick Compare'!H8:H15,"Other"))),"Homepage",IF((COUNTIF('Quick Compare'!D8:D15,"Service page")+COUNTIF('Quick Compare'!H8:H15,"Service page"))=MAX((COUNTIF('Quick Compare'!D8:D15,"Homepage")+COUNTIF('Quick Compare'!H8:H15,"Homepage")),(COUNTIF('Quick Compare'!D8:D15,"Service page")+COUNTIF('Quick Compare'!H8:H15,"Service page")),(COUNTIF('Quick Compare'!D8:D15,"Location page")+COUNTIF('Quick Compare'!H8:H15,"Location page")),(COUNTIF('Quick Compare'!D8:D15,"Directory")+COUNTIF('Quick Compare'!H8:H15,"Directory")),(COUNTIF('Quick Compare'!D8:D15,"Blog/FAQ")+COUNTIF('Quick Compare'!H8:H15,"Blog/FAQ")),(COUNTIF('Quick Compare'!D8:D15,"Portfolio/Gallery")+COUNTIF('Quick Compare'!H8:H15,"Portfolio/Gallery")),(COUNTIF('Quick Compare'!D8:D15,"About page")+COUNTIF('Quick Compare'!H8:H15,"About page")),(COUNTIF('Quick Compare'!D8:D15,"Other")+COUNTIF('Quick Compare'!H8:H15,"Other"))),"Service page",IF((COUNTIF('Quick Compare'!D8:D15,"Location page")+COUNTIF('Quick Compare'!H8:H15,"Location page"))=MAX((COUNTIF('Quick Compare'!D8:D15,"Homepage")+COUNTIF('Quick Compare'!H8:H15,"Homepage")),(COUNTIF('Quick Compare'!D8:D15,"Service page")+COUNTIF('Quick Compare'!H8:H15,"Service page")),(COUNTIF('Quick Compare'!D8:D15,"Location page")+COUNTIF('Quick Compare'!H8:H15,"Location page")),(COUNTIF('Quick Compare'!D8:D15,"Directory")+COUNTIF('Quick Compare'!H8:H15,"Directory")),(COUNTIF('Quick Compare'!D8:D15,"Blog/FAQ")+COUNTIF('Quick Compare'!H8:H15,"Blog/FAQ")),(COUNTIF('Quick Compare'!D8:D15,"Portfolio/Gallery")+COUNTIF('Quick Compare'!H8:H15,"Portfolio/Gallery")),(COUNTIF('Quick Compare'!D8:D15,"About page")+COUNTIF('Quick Compare'!H8:H15,"About page")),(COUNTIF('Quick Compare'!D8:D15,"Other")+COUNTIF('Quick Compare'!H8:H15,"Other"))),"Location page",IF((COUNTIF('Quick Compare'!D8:D15,"Directory")+COUNTIF('Quick Compare'!H8:H15,"Directory"))=MAX((COUNTIF('Quick Compare'!D8:D15,"Homepage")+COUNTIF('Quick Compare'!H8:H15,"Homepage")),(COUNTIF('Quick Compare'!D8:D15,"Service page")+COUNTIF('Quick Compare'!H8:H15,"Service page")),(COUNTIF('Quick Compare'!D8:D15,"Location page")+COUNTIF('Quick Compare'!H8:H15,"Location page")),(COUNTIF('Quick Compare'!D8:D15,"Directory")+COUNTIF('Quick Compare'!H8:H15,"Directory")),(COUNTIF('Quick Compare'!D8:D15,"Blog/FAQ")+COUNTIF('Quick Compare'!H8:H15,"Blog/FAQ")),(COUNTIF('Quick Compare'!D8:D15,"Portfolio/Gallery")+COUNTIF('Quick Compare'!H8:H15,"Portfolio/Gallery")),(COUNTIF('Quick Compare'!D8:D15,"About page")+COUNTIF('Quick Compare'!H8:H15,"About page")),(COUNTIF('Quick Compare'!D8:D15,"Other")+COUNTIF('Quick Compare'!H8:H15,"Other"))),"Directory",IF((COUNTIF('Quick Compare'!D8:D15,"Blog/FAQ")+COUNTIF('Quick Compare'!H8:H15,"Blog/FAQ"))=MAX((COUNTIF('Quick Compare'!D8:D15,"Homepage")+COUNTIF('Quick Compare'!H8:H15,"Homepage")),(COUNTIF('Quick Compare'!D8:D15,"Service page")+COUNTIF('Quick Compare'!H8:H15,"Service page")),(COUNTIF('Quick Compare'!D8:D15,"Location page")+COUNTIF('Quick Compare'!H8:H15,"Location page")),(COUNTIF('Quick Compare'!D8:D15,"Directory")+COUNTIF('Quick Compare'!H8:H15,"Directory")),(COUNTIF('Quick Compare'!D8:D15,"Blog/FAQ")+COUNTIF('Quick Compare'!H8:H15,"Blog/FAQ")),(COUNTIF('Quick Compare'!D8:D15,"Portfolio/Gallery")+COUNTIF('Quick Compare'!H8:H15,"Portfolio/Gallery")),(COUNTIF('Quick Compare'!D8:D15,"About page")+COUNTIF('Quick Compare'!H8:H15,"About page")),(COUNTIF('Quick Compare'!D8:D15,"Other")+COUNTIF('Quick Compare'!H8:H15,"Other"))),"Blog/FAQ",IF((COUNTIF('Quick Compare'!D8:D15,"Portfolio/Gallery")+COUNTIF('Quick Compare'!H8:H15,"Portfolio/Gallery"))=MAX((COUNTIF('Quick Compare'!D8:D15,"Homepage")+COUNTIF('Quick Compare'!H8:H15,"Homepage")),(COUNTIF('Quick Compare'!D8:D15,"Service page")+COUNTIF('Quick Compare'!H8:H15,"Service page")),(COUNTIF('Quick Compare'!D8:D15,"Location page")+COUNTIF('Quick Compare'!H8:H15,"Location page")),(COUNTIF('Quick Compare'!D8:D15,"Directory")+COUNTIF('Quick Compare'!H8:H15,"Directory")),(COUNTIF('Quick Compare'!D8:D15,"Blog/FAQ")+COUNTIF('Quick Compare'!H8:H15,"Blog/FAQ")),(COUNTIF('Quick Compare'!D8:D15,"Portfolio/Gallery")+COUNTIF('Quick Compare'!H8:H15,"Portfolio/Gallery")),(COUNTIF('Quick Compare'!D8:D15,"About page")+COUNTIF('Quick Compare'!H8:H15,"About page")),(COUNTIF('Quick Compare'!D8:D15,"Other")+COUNTIF('Quick Compare'!H8:H15,"Other"))),"Portfolio/Gallery",IF((COUNTIF('Quick Compare'!D8:D15,"About page")+COUNTIF('Quick Compare'!H8:H15,"About page"))=MAX((COUNTIF('Quick Compare'!D8:D15,"Homepage")+COUNTIF('Quick Compare'!H8:H15,"Homepage")),(COUNTIF('Quick Compare'!D8:D15,"Service page")+COUNTIF('Quick Compare'!H8:H15,"Service page")),(COUNTIF('Quick Compare'!D8:D15,"Location page")+COUNTIF('Quick Compare'!H8:H15,"Location page")),(COUNTIF('Quick Compare'!D8:D15,"Directory")+COUNTIF('Quick Compare'!H8:H15,"Directory")),(COUNTIF('Quick Compare'!D8:D15,"Blog/FAQ")+COUNTIF('Quick Compare'!H8:H15,"Blog/FAQ")),(COUNTIF('Quick Compare'!D8:D15,"Portfolio/Gallery")+COUNTIF('Quick Compare'!H8:H15,"Portfolio/Gallery")),(COUNTIF('Quick Compare'!D8:D15,"About page")+COUNTIF('Quick Compare'!H8:H15,"About page")),(COUNTIF('Quick Compare'!D8:D15,"Other")+COUNTIF('Quick Compare'!H8:H15,"Other"))),"About page","Other"))))))))))</x:f>
      </x:c>
      <x:c r="K4" s="67"/>
      <x:c r="L4" s="67"/>
    </x:row>
    <x:row r="5">
      <x:c r="A5" s="67" t="str">
        <x:f>IF('Quick Compare'!B26="","",'Quick Compare'!B26)</x:f>
      </x:c>
      <x:c r="B5" s="67" t="str">
        <x:f>IF('Quick Compare'!B27="","",'Quick Compare'!B27)</x:f>
      </x:c>
      <x:c r="C5" s="67" t="str">
        <x:f>IF('Quick Compare'!B28="","",'Quick Compare'!B28)</x:f>
      </x:c>
      <x:c r="D5" s="67" t="str">
        <x:f>IF(B5="","",'Quick Compare'!B43)</x:f>
      </x:c>
      <x:c r="E5" s="67" t="str">
        <x:f>IF(B5="","",MAX(0,'Quick Compare'!B44-'Quick Compare'!B43))</x:f>
      </x:c>
      <x:c r="F5" s="67" t="str">
        <x:f>IF(B5="","",'Quick Compare'!B45)</x:f>
      </x:c>
      <x:c r="G5" s="67" t="str">
        <x:f>IF(B5="","",'Quick Compare'!B46)</x:f>
      </x:c>
      <x:c r="H5" s="67"/>
      <x:c r="I5" s="67"/>
      <x:c r="J5" s="67" t="str">
        <x:f>IF(B5="","",IF(MAX((COUNTIF('Quick Compare'!D32:D39,"Homepage")+COUNTIF('Quick Compare'!H32:H39,"Homepage")),(COUNTIF('Quick Compare'!D32:D39,"Service page")+COUNTIF('Quick Compare'!H32:H39,"Service page")),(COUNTIF('Quick Compare'!D32:D39,"Location page")+COUNTIF('Quick Compare'!H32:H39,"Location page")),(COUNTIF('Quick Compare'!D32:D39,"Directory")+COUNTIF('Quick Compare'!H32:H39,"Directory")),(COUNTIF('Quick Compare'!D32:D39,"Blog/FAQ")+COUNTIF('Quick Compare'!H32:H39,"Blog/FAQ")),(COUNTIF('Quick Compare'!D32:D39,"Portfolio/Gallery")+COUNTIF('Quick Compare'!H32:H39,"Portfolio/Gallery")),(COUNTIF('Quick Compare'!D32:D39,"About page")+COUNTIF('Quick Compare'!H32:H39,"About page")),(COUNTIF('Quick Compare'!D32:D39,"Other")+COUNTIF('Quick Compare'!H32:H39,"Other")))=0,"",IF((--((COUNTIF('Quick Compare'!D32:D39,"Homepage")+COUNTIF('Quick Compare'!H32:H39,"Homepage"))=MAX((COUNTIF('Quick Compare'!D32:D39,"Homepage")+COUNTIF('Quick Compare'!H32:H39,"Homepage")),(COUNTIF('Quick Compare'!D32:D39,"Service page")+COUNTIF('Quick Compare'!H32:H39,"Service page")),(COUNTIF('Quick Compare'!D32:D39,"Location page")+COUNTIF('Quick Compare'!H32:H39,"Location page")),(COUNTIF('Quick Compare'!D32:D39,"Directory")+COUNTIF('Quick Compare'!H32:H39,"Directory")),(COUNTIF('Quick Compare'!D32:D39,"Blog/FAQ")+COUNTIF('Quick Compare'!H32:H39,"Blog/FAQ")),(COUNTIF('Quick Compare'!D32:D39,"Portfolio/Gallery")+COUNTIF('Quick Compare'!H32:H39,"Portfolio/Gallery")),(COUNTIF('Quick Compare'!D32:D39,"About page")+COUNTIF('Quick Compare'!H32:H39,"About page")),(COUNTIF('Quick Compare'!D32:D39,"Other")+COUNTIF('Quick Compare'!H32:H39,"Other"))))+--((COUNTIF('Quick Compare'!D32:D39,"Service page")+COUNTIF('Quick Compare'!H32:H39,"Service page"))=MAX((COUNTIF('Quick Compare'!D32:D39,"Homepage")+COUNTIF('Quick Compare'!H32:H39,"Homepage")),(COUNTIF('Quick Compare'!D32:D39,"Service page")+COUNTIF('Quick Compare'!H32:H39,"Service page")),(COUNTIF('Quick Compare'!D32:D39,"Location page")+COUNTIF('Quick Compare'!H32:H39,"Location page")),(COUNTIF('Quick Compare'!D32:D39,"Directory")+COUNTIF('Quick Compare'!H32:H39,"Directory")),(COUNTIF('Quick Compare'!D32:D39,"Blog/FAQ")+COUNTIF('Quick Compare'!H32:H39,"Blog/FAQ")),(COUNTIF('Quick Compare'!D32:D39,"Portfolio/Gallery")+COUNTIF('Quick Compare'!H32:H39,"Portfolio/Gallery")),(COUNTIF('Quick Compare'!D32:D39,"About page")+COUNTIF('Quick Compare'!H32:H39,"About page")),(COUNTIF('Quick Compare'!D32:D39,"Other")+COUNTIF('Quick Compare'!H32:H39,"Other"))))+--((COUNTIF('Quick Compare'!D32:D39,"Location page")+COUNTIF('Quick Compare'!H32:H39,"Location page"))=MAX((COUNTIF('Quick Compare'!D32:D39,"Homepage")+COUNTIF('Quick Compare'!H32:H39,"Homepage")),(COUNTIF('Quick Compare'!D32:D39,"Service page")+COUNTIF('Quick Compare'!H32:H39,"Service page")),(COUNTIF('Quick Compare'!D32:D39,"Location page")+COUNTIF('Quick Compare'!H32:H39,"Location page")),(COUNTIF('Quick Compare'!D32:D39,"Directory")+COUNTIF('Quick Compare'!H32:H39,"Directory")),(COUNTIF('Quick Compare'!D32:D39,"Blog/FAQ")+COUNTIF('Quick Compare'!H32:H39,"Blog/FAQ")),(COUNTIF('Quick Compare'!D32:D39,"Portfolio/Gallery")+COUNTIF('Quick Compare'!H32:H39,"Portfolio/Gallery")),(COUNTIF('Quick Compare'!D32:D39,"About page")+COUNTIF('Quick Compare'!H32:H39,"About page")),(COUNTIF('Quick Compare'!D32:D39,"Other")+COUNTIF('Quick Compare'!H32:H39,"Other"))))+--((COUNTIF('Quick Compare'!D32:D39,"Directory")+COUNTIF('Quick Compare'!H32:H39,"Directory"))=MAX((COUNTIF('Quick Compare'!D32:D39,"Homepage")+COUNTIF('Quick Compare'!H32:H39,"Homepage")),(COUNTIF('Quick Compare'!D32:D39,"Service page")+COUNTIF('Quick Compare'!H32:H39,"Service page")),(COUNTIF('Quick Compare'!D32:D39,"Location page")+COUNTIF('Quick Compare'!H32:H39,"Location page")),(COUNTIF('Quick Compare'!D32:D39,"Directory")+COUNTIF('Quick Compare'!H32:H39,"Directory")),(COUNTIF('Quick Compare'!D32:D39,"Blog/FAQ")+COUNTIF('Quick Compare'!H32:H39,"Blog/FAQ")),(COUNTIF('Quick Compare'!D32:D39,"Portfolio/Gallery")+COUNTIF('Quick Compare'!H32:H39,"Portfolio/Gallery")),(COUNTIF('Quick Compare'!D32:D39,"About page")+COUNTIF('Quick Compare'!H32:H39,"About page")),(COUNTIF('Quick Compare'!D32:D39,"Other")+COUNTIF('Quick Compare'!H32:H39,"Other"))))+--((COUNTIF('Quick Compare'!D32:D39,"Blog/FAQ")+COUNTIF('Quick Compare'!H32:H39,"Blog/FAQ"))=MAX((COUNTIF('Quick Compare'!D32:D39,"Homepage")+COUNTIF('Quick Compare'!H32:H39,"Homepage")),(COUNTIF('Quick Compare'!D32:D39,"Service page")+COUNTIF('Quick Compare'!H32:H39,"Service page")),(COUNTIF('Quick Compare'!D32:D39,"Location page")+COUNTIF('Quick Compare'!H32:H39,"Location page")),(COUNTIF('Quick Compare'!D32:D39,"Directory")+COUNTIF('Quick Compare'!H32:H39,"Directory")),(COUNTIF('Quick Compare'!D32:D39,"Blog/FAQ")+COUNTIF('Quick Compare'!H32:H39,"Blog/FAQ")),(COUNTIF('Quick Compare'!D32:D39,"Portfolio/Gallery")+COUNTIF('Quick Compare'!H32:H39,"Portfolio/Gallery")),(COUNTIF('Quick Compare'!D32:D39,"About page")+COUNTIF('Quick Compare'!H32:H39,"About page")),(COUNTIF('Quick Compare'!D32:D39,"Other")+COUNTIF('Quick Compare'!H32:H39,"Other"))))+--((COUNTIF('Quick Compare'!D32:D39,"Portfolio/Gallery")+COUNTIF('Quick Compare'!H32:H39,"Portfolio/Gallery"))=MAX((COUNTIF('Quick Compare'!D32:D39,"Homepage")+COUNTIF('Quick Compare'!H32:H39,"Homepage")),(COUNTIF('Quick Compare'!D32:D39,"Service page")+COUNTIF('Quick Compare'!H32:H39,"Service page")),(COUNTIF('Quick Compare'!D32:D39,"Location page")+COUNTIF('Quick Compare'!H32:H39,"Location page")),(COUNTIF('Quick Compare'!D32:D39,"Directory")+COUNTIF('Quick Compare'!H32:H39,"Directory")),(COUNTIF('Quick Compare'!D32:D39,"Blog/FAQ")+COUNTIF('Quick Compare'!H32:H39,"Blog/FAQ")),(COUNTIF('Quick Compare'!D32:D39,"Portfolio/Gallery")+COUNTIF('Quick Compare'!H32:H39,"Portfolio/Gallery")),(COUNTIF('Quick Compare'!D32:D39,"About page")+COUNTIF('Quick Compare'!H32:H39,"About page")),(COUNTIF('Quick Compare'!D32:D39,"Other")+COUNTIF('Quick Compare'!H32:H39,"Other"))))+--((COUNTIF('Quick Compare'!D32:D39,"About page")+COUNTIF('Quick Compare'!H32:H39,"About page"))=MAX((COUNTIF('Quick Compare'!D32:D39,"Homepage")+COUNTIF('Quick Compare'!H32:H39,"Homepage")),(COUNTIF('Quick Compare'!D32:D39,"Service page")+COUNTIF('Quick Compare'!H32:H39,"Service page")),(COUNTIF('Quick Compare'!D32:D39,"Location page")+COUNTIF('Quick Compare'!H32:H39,"Location page")),(COUNTIF('Quick Compare'!D32:D39,"Directory")+COUNTIF('Quick Compare'!H32:H39,"Directory")),(COUNTIF('Quick Compare'!D32:D39,"Blog/FAQ")+COUNTIF('Quick Compare'!H32:H39,"Blog/FAQ")),(COUNTIF('Quick Compare'!D32:D39,"Portfolio/Gallery")+COUNTIF('Quick Compare'!H32:H39,"Portfolio/Gallery")),(COUNTIF('Quick Compare'!D32:D39,"About page")+COUNTIF('Quick Compare'!H32:H39,"About page")),(COUNTIF('Quick Compare'!D32:D39,"Other")+COUNTIF('Quick Compare'!H32:H39,"Other"))))+--((COUNTIF('Quick Compare'!D32:D39,"Other")+COUNTIF('Quick Compare'!H32:H39,"Other"))=MAX((COUNTIF('Quick Compare'!D32:D39,"Homepage")+COUNTIF('Quick Compare'!H32:H39,"Homepage")),(COUNTIF('Quick Compare'!D32:D39,"Service page")+COUNTIF('Quick Compare'!H32:H39,"Service page")),(COUNTIF('Quick Compare'!D32:D39,"Location page")+COUNTIF('Quick Compare'!H32:H39,"Location page")),(COUNTIF('Quick Compare'!D32:D39,"Directory")+COUNTIF('Quick Compare'!H32:H39,"Directory")),(COUNTIF('Quick Compare'!D32:D39,"Blog/FAQ")+COUNTIF('Quick Compare'!H32:H39,"Blog/FAQ")),(COUNTIF('Quick Compare'!D32:D39,"Portfolio/Gallery")+COUNTIF('Quick Compare'!H32:H39,"Portfolio/Gallery")),(COUNTIF('Quick Compare'!D32:D39,"About page")+COUNTIF('Quick Compare'!H32:H39,"About page")),(COUNTIF('Quick Compare'!D32:D39,"Other")+COUNTIF('Quick Compare'!H32:H39,"Other")))))&gt;1,"Tie / review",IF((COUNTIF('Quick Compare'!D32:D39,"Homepage")+COUNTIF('Quick Compare'!H32:H39,"Homepage"))=MAX((COUNTIF('Quick Compare'!D32:D39,"Homepage")+COUNTIF('Quick Compare'!H32:H39,"Homepage")),(COUNTIF('Quick Compare'!D32:D39,"Service page")+COUNTIF('Quick Compare'!H32:H39,"Service page")),(COUNTIF('Quick Compare'!D32:D39,"Location page")+COUNTIF('Quick Compare'!H32:H39,"Location page")),(COUNTIF('Quick Compare'!D32:D39,"Directory")+COUNTIF('Quick Compare'!H32:H39,"Directory")),(COUNTIF('Quick Compare'!D32:D39,"Blog/FAQ")+COUNTIF('Quick Compare'!H32:H39,"Blog/FAQ")),(COUNTIF('Quick Compare'!D32:D39,"Portfolio/Gallery")+COUNTIF('Quick Compare'!H32:H39,"Portfolio/Gallery")),(COUNTIF('Quick Compare'!D32:D39,"About page")+COUNTIF('Quick Compare'!H32:H39,"About page")),(COUNTIF('Quick Compare'!D32:D39,"Other")+COUNTIF('Quick Compare'!H32:H39,"Other"))),"Homepage",IF((COUNTIF('Quick Compare'!D32:D39,"Service page")+COUNTIF('Quick Compare'!H32:H39,"Service page"))=MAX((COUNTIF('Quick Compare'!D32:D39,"Homepage")+COUNTIF('Quick Compare'!H32:H39,"Homepage")),(COUNTIF('Quick Compare'!D32:D39,"Service page")+COUNTIF('Quick Compare'!H32:H39,"Service page")),(COUNTIF('Quick Compare'!D32:D39,"Location page")+COUNTIF('Quick Compare'!H32:H39,"Location page")),(COUNTIF('Quick Compare'!D32:D39,"Directory")+COUNTIF('Quick Compare'!H32:H39,"Directory")),(COUNTIF('Quick Compare'!D32:D39,"Blog/FAQ")+COUNTIF('Quick Compare'!H32:H39,"Blog/FAQ")),(COUNTIF('Quick Compare'!D32:D39,"Portfolio/Gallery")+COUNTIF('Quick Compare'!H32:H39,"Portfolio/Gallery")),(COUNTIF('Quick Compare'!D32:D39,"About page")+COUNTIF('Quick Compare'!H32:H39,"About page")),(COUNTIF('Quick Compare'!D32:D39,"Other")+COUNTIF('Quick Compare'!H32:H39,"Other"))),"Service page",IF((COUNTIF('Quick Compare'!D32:D39,"Location page")+COUNTIF('Quick Compare'!H32:H39,"Location page"))=MAX((COUNTIF('Quick Compare'!D32:D39,"Homepage")+COUNTIF('Quick Compare'!H32:H39,"Homepage")),(COUNTIF('Quick Compare'!D32:D39,"Service page")+COUNTIF('Quick Compare'!H32:H39,"Service page")),(COUNTIF('Quick Compare'!D32:D39,"Location page")+COUNTIF('Quick Compare'!H32:H39,"Location page")),(COUNTIF('Quick Compare'!D32:D39,"Directory")+COUNTIF('Quick Compare'!H32:H39,"Directory")),(COUNTIF('Quick Compare'!D32:D39,"Blog/FAQ")+COUNTIF('Quick Compare'!H32:H39,"Blog/FAQ")),(COUNTIF('Quick Compare'!D32:D39,"Portfolio/Gallery")+COUNTIF('Quick Compare'!H32:H39,"Portfolio/Gallery")),(COUNTIF('Quick Compare'!D32:D39,"About page")+COUNTIF('Quick Compare'!H32:H39,"About page")),(COUNTIF('Quick Compare'!D32:D39,"Other")+COUNTIF('Quick Compare'!H32:H39,"Other"))),"Location page",IF((COUNTIF('Quick Compare'!D32:D39,"Directory")+COUNTIF('Quick Compare'!H32:H39,"Directory"))=MAX((COUNTIF('Quick Compare'!D32:D39,"Homepage")+COUNTIF('Quick Compare'!H32:H39,"Homepage")),(COUNTIF('Quick Compare'!D32:D39,"Service page")+COUNTIF('Quick Compare'!H32:H39,"Service page")),(COUNTIF('Quick Compare'!D32:D39,"Location page")+COUNTIF('Quick Compare'!H32:H39,"Location page")),(COUNTIF('Quick Compare'!D32:D39,"Directory")+COUNTIF('Quick Compare'!H32:H39,"Directory")),(COUNTIF('Quick Compare'!D32:D39,"Blog/FAQ")+COUNTIF('Quick Compare'!H32:H39,"Blog/FAQ")),(COUNTIF('Quick Compare'!D32:D39,"Portfolio/Gallery")+COUNTIF('Quick Compare'!H32:H39,"Portfolio/Gallery")),(COUNTIF('Quick Compare'!D32:D39,"About page")+COUNTIF('Quick Compare'!H32:H39,"About page")),(COUNTIF('Quick Compare'!D32:D39,"Other")+COUNTIF('Quick Compare'!H32:H39,"Other"))),"Directory",IF((COUNTIF('Quick Compare'!D32:D39,"Blog/FAQ")+COUNTIF('Quick Compare'!H32:H39,"Blog/FAQ"))=MAX((COUNTIF('Quick Compare'!D32:D39,"Homepage")+COUNTIF('Quick Compare'!H32:H39,"Homepage")),(COUNTIF('Quick Compare'!D32:D39,"Service page")+COUNTIF('Quick Compare'!H32:H39,"Service page")),(COUNTIF('Quick Compare'!D32:D39,"Location page")+COUNTIF('Quick Compare'!H32:H39,"Location page")),(COUNTIF('Quick Compare'!D32:D39,"Directory")+COUNTIF('Quick Compare'!H32:H39,"Directory")),(COUNTIF('Quick Compare'!D32:D39,"Blog/FAQ")+COUNTIF('Quick Compare'!H32:H39,"Blog/FAQ")),(COUNTIF('Quick Compare'!D32:D39,"Portfolio/Gallery")+COUNTIF('Quick Compare'!H32:H39,"Portfolio/Gallery")),(COUNTIF('Quick Compare'!D32:D39,"About page")+COUNTIF('Quick Compare'!H32:H39,"About page")),(COUNTIF('Quick Compare'!D32:D39,"Other")+COUNTIF('Quick Compare'!H32:H39,"Other"))),"Blog/FAQ",IF((COUNTIF('Quick Compare'!D32:D39,"Portfolio/Gallery")+COUNTIF('Quick Compare'!H32:H39,"Portfolio/Gallery"))=MAX((COUNTIF('Quick Compare'!D32:D39,"Homepage")+COUNTIF('Quick Compare'!H32:H39,"Homepage")),(COUNTIF('Quick Compare'!D32:D39,"Service page")+COUNTIF('Quick Compare'!H32:H39,"Service page")),(COUNTIF('Quick Compare'!D32:D39,"Location page")+COUNTIF('Quick Compare'!H32:H39,"Location page")),(COUNTIF('Quick Compare'!D32:D39,"Directory")+COUNTIF('Quick Compare'!H32:H39,"Directory")),(COUNTIF('Quick Compare'!D32:D39,"Blog/FAQ")+COUNTIF('Quick Compare'!H32:H39,"Blog/FAQ")),(COUNTIF('Quick Compare'!D32:D39,"Portfolio/Gallery")+COUNTIF('Quick Compare'!H32:H39,"Portfolio/Gallery")),(COUNTIF('Quick Compare'!D32:D39,"About page")+COUNTIF('Quick Compare'!H32:H39,"About page")),(COUNTIF('Quick Compare'!D32:D39,"Other")+COUNTIF('Quick Compare'!H32:H39,"Other"))),"Portfolio/Gallery",IF((COUNTIF('Quick Compare'!D32:D39,"About page")+COUNTIF('Quick Compare'!H32:H39,"About page"))=MAX((COUNTIF('Quick Compare'!D32:D39,"Homepage")+COUNTIF('Quick Compare'!H32:H39,"Homepage")),(COUNTIF('Quick Compare'!D32:D39,"Service page")+COUNTIF('Quick Compare'!H32:H39,"Service page")),(COUNTIF('Quick Compare'!D32:D39,"Location page")+COUNTIF('Quick Compare'!H32:H39,"Location page")),(COUNTIF('Quick Compare'!D32:D39,"Directory")+COUNTIF('Quick Compare'!H32:H39,"Directory")),(COUNTIF('Quick Compare'!D32:D39,"Blog/FAQ")+COUNTIF('Quick Compare'!H32:H39,"Blog/FAQ")),(COUNTIF('Quick Compare'!D32:D39,"Portfolio/Gallery")+COUNTIF('Quick Compare'!H32:H39,"Portfolio/Gallery")),(COUNTIF('Quick Compare'!D32:D39,"About page")+COUNTIF('Quick Compare'!H32:H39,"About page")),(COUNTIF('Quick Compare'!D32:D39,"Other")+COUNTIF('Quick Compare'!H32:H39,"Other"))),"About page","Other"))))))))))</x:f>
      </x:c>
      <x:c r="K5" s="67"/>
      <x:c r="L5" s="67"/>
    </x:row>
    <x:row r="6">
      <x:c r="A6" s="67" t="str">
        <x:f>IF('Quick Compare'!B50="","",'Quick Compare'!B50)</x:f>
      </x:c>
      <x:c r="B6" s="67" t="str">
        <x:f>IF('Quick Compare'!B51="","",'Quick Compare'!B51)</x:f>
      </x:c>
      <x:c r="C6" s="67" t="str">
        <x:f>IF('Quick Compare'!B52="","",'Quick Compare'!B52)</x:f>
      </x:c>
      <x:c r="D6" s="67" t="str">
        <x:f>IF(B6="","",'Quick Compare'!B67)</x:f>
      </x:c>
      <x:c r="E6" s="67" t="str">
        <x:f>IF(B6="","",MAX(0,'Quick Compare'!B68-'Quick Compare'!B67))</x:f>
      </x:c>
      <x:c r="F6" s="67" t="str">
        <x:f>IF(B6="","",'Quick Compare'!B69)</x:f>
      </x:c>
      <x:c r="G6" s="67" t="str">
        <x:f>IF(B6="","",'Quick Compare'!B70)</x:f>
      </x:c>
      <x:c r="H6" s="67"/>
      <x:c r="I6" s="67"/>
      <x:c r="J6" s="67" t="str">
        <x:f>IF(B6="","",IF(MAX((COUNTIF('Quick Compare'!D56:D63,"Homepage")+COUNTIF('Quick Compare'!H56:H63,"Homepage")),(COUNTIF('Quick Compare'!D56:D63,"Service page")+COUNTIF('Quick Compare'!H56:H63,"Service page")),(COUNTIF('Quick Compare'!D56:D63,"Location page")+COUNTIF('Quick Compare'!H56:H63,"Location page")),(COUNTIF('Quick Compare'!D56:D63,"Directory")+COUNTIF('Quick Compare'!H56:H63,"Directory")),(COUNTIF('Quick Compare'!D56:D63,"Blog/FAQ")+COUNTIF('Quick Compare'!H56:H63,"Blog/FAQ")),(COUNTIF('Quick Compare'!D56:D63,"Portfolio/Gallery")+COUNTIF('Quick Compare'!H56:H63,"Portfolio/Gallery")),(COUNTIF('Quick Compare'!D56:D63,"About page")+COUNTIF('Quick Compare'!H56:H63,"About page")),(COUNTIF('Quick Compare'!D56:D63,"Other")+COUNTIF('Quick Compare'!H56:H63,"Other")))=0,"",IF((--((COUNTIF('Quick Compare'!D56:D63,"Homepage")+COUNTIF('Quick Compare'!H56:H63,"Homepage"))=MAX((COUNTIF('Quick Compare'!D56:D63,"Homepage")+COUNTIF('Quick Compare'!H56:H63,"Homepage")),(COUNTIF('Quick Compare'!D56:D63,"Service page")+COUNTIF('Quick Compare'!H56:H63,"Service page")),(COUNTIF('Quick Compare'!D56:D63,"Location page")+COUNTIF('Quick Compare'!H56:H63,"Location page")),(COUNTIF('Quick Compare'!D56:D63,"Directory")+COUNTIF('Quick Compare'!H56:H63,"Directory")),(COUNTIF('Quick Compare'!D56:D63,"Blog/FAQ")+COUNTIF('Quick Compare'!H56:H63,"Blog/FAQ")),(COUNTIF('Quick Compare'!D56:D63,"Portfolio/Gallery")+COUNTIF('Quick Compare'!H56:H63,"Portfolio/Gallery")),(COUNTIF('Quick Compare'!D56:D63,"About page")+COUNTIF('Quick Compare'!H56:H63,"About page")),(COUNTIF('Quick Compare'!D56:D63,"Other")+COUNTIF('Quick Compare'!H56:H63,"Other"))))+--((COUNTIF('Quick Compare'!D56:D63,"Service page")+COUNTIF('Quick Compare'!H56:H63,"Service page"))=MAX((COUNTIF('Quick Compare'!D56:D63,"Homepage")+COUNTIF('Quick Compare'!H56:H63,"Homepage")),(COUNTIF('Quick Compare'!D56:D63,"Service page")+COUNTIF('Quick Compare'!H56:H63,"Service page")),(COUNTIF('Quick Compare'!D56:D63,"Location page")+COUNTIF('Quick Compare'!H56:H63,"Location page")),(COUNTIF('Quick Compare'!D56:D63,"Directory")+COUNTIF('Quick Compare'!H56:H63,"Directory")),(COUNTIF('Quick Compare'!D56:D63,"Blog/FAQ")+COUNTIF('Quick Compare'!H56:H63,"Blog/FAQ")),(COUNTIF('Quick Compare'!D56:D63,"Portfolio/Gallery")+COUNTIF('Quick Compare'!H56:H63,"Portfolio/Gallery")),(COUNTIF('Quick Compare'!D56:D63,"About page")+COUNTIF('Quick Compare'!H56:H63,"About page")),(COUNTIF('Quick Compare'!D56:D63,"Other")+COUNTIF('Quick Compare'!H56:H63,"Other"))))+--((COUNTIF('Quick Compare'!D56:D63,"Location page")+COUNTIF('Quick Compare'!H56:H63,"Location page"))=MAX((COUNTIF('Quick Compare'!D56:D63,"Homepage")+COUNTIF('Quick Compare'!H56:H63,"Homepage")),(COUNTIF('Quick Compare'!D56:D63,"Service page")+COUNTIF('Quick Compare'!H56:H63,"Service page")),(COUNTIF('Quick Compare'!D56:D63,"Location page")+COUNTIF('Quick Compare'!H56:H63,"Location page")),(COUNTIF('Quick Compare'!D56:D63,"Directory")+COUNTIF('Quick Compare'!H56:H63,"Directory")),(COUNTIF('Quick Compare'!D56:D63,"Blog/FAQ")+COUNTIF('Quick Compare'!H56:H63,"Blog/FAQ")),(COUNTIF('Quick Compare'!D56:D63,"Portfolio/Gallery")+COUNTIF('Quick Compare'!H56:H63,"Portfolio/Gallery")),(COUNTIF('Quick Compare'!D56:D63,"About page")+COUNTIF('Quick Compare'!H56:H63,"About page")),(COUNTIF('Quick Compare'!D56:D63,"Other")+COUNTIF('Quick Compare'!H56:H63,"Other"))))+--((COUNTIF('Quick Compare'!D56:D63,"Directory")+COUNTIF('Quick Compare'!H56:H63,"Directory"))=MAX((COUNTIF('Quick Compare'!D56:D63,"Homepage")+COUNTIF('Quick Compare'!H56:H63,"Homepage")),(COUNTIF('Quick Compare'!D56:D63,"Service page")+COUNTIF('Quick Compare'!H56:H63,"Service page")),(COUNTIF('Quick Compare'!D56:D63,"Location page")+COUNTIF('Quick Compare'!H56:H63,"Location page")),(COUNTIF('Quick Compare'!D56:D63,"Directory")+COUNTIF('Quick Compare'!H56:H63,"Directory")),(COUNTIF('Quick Compare'!D56:D63,"Blog/FAQ")+COUNTIF('Quick Compare'!H56:H63,"Blog/FAQ")),(COUNTIF('Quick Compare'!D56:D63,"Portfolio/Gallery")+COUNTIF('Quick Compare'!H56:H63,"Portfolio/Gallery")),(COUNTIF('Quick Compare'!D56:D63,"About page")+COUNTIF('Quick Compare'!H56:H63,"About page")),(COUNTIF('Quick Compare'!D56:D63,"Other")+COUNTIF('Quick Compare'!H56:H63,"Other"))))+--((COUNTIF('Quick Compare'!D56:D63,"Blog/FAQ")+COUNTIF('Quick Compare'!H56:H63,"Blog/FAQ"))=MAX((COUNTIF('Quick Compare'!D56:D63,"Homepage")+COUNTIF('Quick Compare'!H56:H63,"Homepage")),(COUNTIF('Quick Compare'!D56:D63,"Service page")+COUNTIF('Quick Compare'!H56:H63,"Service page")),(COUNTIF('Quick Compare'!D56:D63,"Location page")+COUNTIF('Quick Compare'!H56:H63,"Location page")),(COUNTIF('Quick Compare'!D56:D63,"Directory")+COUNTIF('Quick Compare'!H56:H63,"Directory")),(COUNTIF('Quick Compare'!D56:D63,"Blog/FAQ")+COUNTIF('Quick Compare'!H56:H63,"Blog/FAQ")),(COUNTIF('Quick Compare'!D56:D63,"Portfolio/Gallery")+COUNTIF('Quick Compare'!H56:H63,"Portfolio/Gallery")),(COUNTIF('Quick Compare'!D56:D63,"About page")+COUNTIF('Quick Compare'!H56:H63,"About page")),(COUNTIF('Quick Compare'!D56:D63,"Other")+COUNTIF('Quick Compare'!H56:H63,"Other"))))+--((COUNTIF('Quick Compare'!D56:D63,"Portfolio/Gallery")+COUNTIF('Quick Compare'!H56:H63,"Portfolio/Gallery"))=MAX((COUNTIF('Quick Compare'!D56:D63,"Homepage")+COUNTIF('Quick Compare'!H56:H63,"Homepage")),(COUNTIF('Quick Compare'!D56:D63,"Service page")+COUNTIF('Quick Compare'!H56:H63,"Service page")),(COUNTIF('Quick Compare'!D56:D63,"Location page")+COUNTIF('Quick Compare'!H56:H63,"Location page")),(COUNTIF('Quick Compare'!D56:D63,"Directory")+COUNTIF('Quick Compare'!H56:H63,"Directory")),(COUNTIF('Quick Compare'!D56:D63,"Blog/FAQ")+COUNTIF('Quick Compare'!H56:H63,"Blog/FAQ")),(COUNTIF('Quick Compare'!D56:D63,"Portfolio/Gallery")+COUNTIF('Quick Compare'!H56:H63,"Portfolio/Gallery")),(COUNTIF('Quick Compare'!D56:D63,"About page")+COUNTIF('Quick Compare'!H56:H63,"About page")),(COUNTIF('Quick Compare'!D56:D63,"Other")+COUNTIF('Quick Compare'!H56:H63,"Other"))))+--((COUNTIF('Quick Compare'!D56:D63,"About page")+COUNTIF('Quick Compare'!H56:H63,"About page"))=MAX((COUNTIF('Quick Compare'!D56:D63,"Homepage")+COUNTIF('Quick Compare'!H56:H63,"Homepage")),(COUNTIF('Quick Compare'!D56:D63,"Service page")+COUNTIF('Quick Compare'!H56:H63,"Service page")),(COUNTIF('Quick Compare'!D56:D63,"Location page")+COUNTIF('Quick Compare'!H56:H63,"Location page")),(COUNTIF('Quick Compare'!D56:D63,"Directory")+COUNTIF('Quick Compare'!H56:H63,"Directory")),(COUNTIF('Quick Compare'!D56:D63,"Blog/FAQ")+COUNTIF('Quick Compare'!H56:H63,"Blog/FAQ")),(COUNTIF('Quick Compare'!D56:D63,"Portfolio/Gallery")+COUNTIF('Quick Compare'!H56:H63,"Portfolio/Gallery")),(COUNTIF('Quick Compare'!D56:D63,"About page")+COUNTIF('Quick Compare'!H56:H63,"About page")),(COUNTIF('Quick Compare'!D56:D63,"Other")+COUNTIF('Quick Compare'!H56:H63,"Other"))))+--((COUNTIF('Quick Compare'!D56:D63,"Other")+COUNTIF('Quick Compare'!H56:H63,"Other"))=MAX((COUNTIF('Quick Compare'!D56:D63,"Homepage")+COUNTIF('Quick Compare'!H56:H63,"Homepage")),(COUNTIF('Quick Compare'!D56:D63,"Service page")+COUNTIF('Quick Compare'!H56:H63,"Service page")),(COUNTIF('Quick Compare'!D56:D63,"Location page")+COUNTIF('Quick Compare'!H56:H63,"Location page")),(COUNTIF('Quick Compare'!D56:D63,"Directory")+COUNTIF('Quick Compare'!H56:H63,"Directory")),(COUNTIF('Quick Compare'!D56:D63,"Blog/FAQ")+COUNTIF('Quick Compare'!H56:H63,"Blog/FAQ")),(COUNTIF('Quick Compare'!D56:D63,"Portfolio/Gallery")+COUNTIF('Quick Compare'!H56:H63,"Portfolio/Gallery")),(COUNTIF('Quick Compare'!D56:D63,"About page")+COUNTIF('Quick Compare'!H56:H63,"About page")),(COUNTIF('Quick Compare'!D56:D63,"Other")+COUNTIF('Quick Compare'!H56:H63,"Other")))))&gt;1,"Tie / review",IF((COUNTIF('Quick Compare'!D56:D63,"Homepage")+COUNTIF('Quick Compare'!H56:H63,"Homepage"))=MAX((COUNTIF('Quick Compare'!D56:D63,"Homepage")+COUNTIF('Quick Compare'!H56:H63,"Homepage")),(COUNTIF('Quick Compare'!D56:D63,"Service page")+COUNTIF('Quick Compare'!H56:H63,"Service page")),(COUNTIF('Quick Compare'!D56:D63,"Location page")+COUNTIF('Quick Compare'!H56:H63,"Location page")),(COUNTIF('Quick Compare'!D56:D63,"Directory")+COUNTIF('Quick Compare'!H56:H63,"Directory")),(COUNTIF('Quick Compare'!D56:D63,"Blog/FAQ")+COUNTIF('Quick Compare'!H56:H63,"Blog/FAQ")),(COUNTIF('Quick Compare'!D56:D63,"Portfolio/Gallery")+COUNTIF('Quick Compare'!H56:H63,"Portfolio/Gallery")),(COUNTIF('Quick Compare'!D56:D63,"About page")+COUNTIF('Quick Compare'!H56:H63,"About page")),(COUNTIF('Quick Compare'!D56:D63,"Other")+COUNTIF('Quick Compare'!H56:H63,"Other"))),"Homepage",IF((COUNTIF('Quick Compare'!D56:D63,"Service page")+COUNTIF('Quick Compare'!H56:H63,"Service page"))=MAX((COUNTIF('Quick Compare'!D56:D63,"Homepage")+COUNTIF('Quick Compare'!H56:H63,"Homepage")),(COUNTIF('Quick Compare'!D56:D63,"Service page")+COUNTIF('Quick Compare'!H56:H63,"Service page")),(COUNTIF('Quick Compare'!D56:D63,"Location page")+COUNTIF('Quick Compare'!H56:H63,"Location page")),(COUNTIF('Quick Compare'!D56:D63,"Directory")+COUNTIF('Quick Compare'!H56:H63,"Directory")),(COUNTIF('Quick Compare'!D56:D63,"Blog/FAQ")+COUNTIF('Quick Compare'!H56:H63,"Blog/FAQ")),(COUNTIF('Quick Compare'!D56:D63,"Portfolio/Gallery")+COUNTIF('Quick Compare'!H56:H63,"Portfolio/Gallery")),(COUNTIF('Quick Compare'!D56:D63,"About page")+COUNTIF('Quick Compare'!H56:H63,"About page")),(COUNTIF('Quick Compare'!D56:D63,"Other")+COUNTIF('Quick Compare'!H56:H63,"Other"))),"Service page",IF((COUNTIF('Quick Compare'!D56:D63,"Location page")+COUNTIF('Quick Compare'!H56:H63,"Location page"))=MAX((COUNTIF('Quick Compare'!D56:D63,"Homepage")+COUNTIF('Quick Compare'!H56:H63,"Homepage")),(COUNTIF('Quick Compare'!D56:D63,"Service page")+COUNTIF('Quick Compare'!H56:H63,"Service page")),(COUNTIF('Quick Compare'!D56:D63,"Location page")+COUNTIF('Quick Compare'!H56:H63,"Location page")),(COUNTIF('Quick Compare'!D56:D63,"Directory")+COUNTIF('Quick Compare'!H56:H63,"Directory")),(COUNTIF('Quick Compare'!D56:D63,"Blog/FAQ")+COUNTIF('Quick Compare'!H56:H63,"Blog/FAQ")),(COUNTIF('Quick Compare'!D56:D63,"Portfolio/Gallery")+COUNTIF('Quick Compare'!H56:H63,"Portfolio/Gallery")),(COUNTIF('Quick Compare'!D56:D63,"About page")+COUNTIF('Quick Compare'!H56:H63,"About page")),(COUNTIF('Quick Compare'!D56:D63,"Other")+COUNTIF('Quick Compare'!H56:H63,"Other"))),"Location page",IF((COUNTIF('Quick Compare'!D56:D63,"Directory")+COUNTIF('Quick Compare'!H56:H63,"Directory"))=MAX((COUNTIF('Quick Compare'!D56:D63,"Homepage")+COUNTIF('Quick Compare'!H56:H63,"Homepage")),(COUNTIF('Quick Compare'!D56:D63,"Service page")+COUNTIF('Quick Compare'!H56:H63,"Service page")),(COUNTIF('Quick Compare'!D56:D63,"Location page")+COUNTIF('Quick Compare'!H56:H63,"Location page")),(COUNTIF('Quick Compare'!D56:D63,"Directory")+COUNTIF('Quick Compare'!H56:H63,"Directory")),(COUNTIF('Quick Compare'!D56:D63,"Blog/FAQ")+COUNTIF('Quick Compare'!H56:H63,"Blog/FAQ")),(COUNTIF('Quick Compare'!D56:D63,"Portfolio/Gallery")+COUNTIF('Quick Compare'!H56:H63,"Portfolio/Gallery")),(COUNTIF('Quick Compare'!D56:D63,"About page")+COUNTIF('Quick Compare'!H56:H63,"About page")),(COUNTIF('Quick Compare'!D56:D63,"Other")+COUNTIF('Quick Compare'!H56:H63,"Other"))),"Directory",IF((COUNTIF('Quick Compare'!D56:D63,"Blog/FAQ")+COUNTIF('Quick Compare'!H56:H63,"Blog/FAQ"))=MAX((COUNTIF('Quick Compare'!D56:D63,"Homepage")+COUNTIF('Quick Compare'!H56:H63,"Homepage")),(COUNTIF('Quick Compare'!D56:D63,"Service page")+COUNTIF('Quick Compare'!H56:H63,"Service page")),(COUNTIF('Quick Compare'!D56:D63,"Location page")+COUNTIF('Quick Compare'!H56:H63,"Location page")),(COUNTIF('Quick Compare'!D56:D63,"Directory")+COUNTIF('Quick Compare'!H56:H63,"Directory")),(COUNTIF('Quick Compare'!D56:D63,"Blog/FAQ")+COUNTIF('Quick Compare'!H56:H63,"Blog/FAQ")),(COUNTIF('Quick Compare'!D56:D63,"Portfolio/Gallery")+COUNTIF('Quick Compare'!H56:H63,"Portfolio/Gallery")),(COUNTIF('Quick Compare'!D56:D63,"About page")+COUNTIF('Quick Compare'!H56:H63,"About page")),(COUNTIF('Quick Compare'!D56:D63,"Other")+COUNTIF('Quick Compare'!H56:H63,"Other"))),"Blog/FAQ",IF((COUNTIF('Quick Compare'!D56:D63,"Portfolio/Gallery")+COUNTIF('Quick Compare'!H56:H63,"Portfolio/Gallery"))=MAX((COUNTIF('Quick Compare'!D56:D63,"Homepage")+COUNTIF('Quick Compare'!H56:H63,"Homepage")),(COUNTIF('Quick Compare'!D56:D63,"Service page")+COUNTIF('Quick Compare'!H56:H63,"Service page")),(COUNTIF('Quick Compare'!D56:D63,"Location page")+COUNTIF('Quick Compare'!H56:H63,"Location page")),(COUNTIF('Quick Compare'!D56:D63,"Directory")+COUNTIF('Quick Compare'!H56:H63,"Directory")),(COUNTIF('Quick Compare'!D56:D63,"Blog/FAQ")+COUNTIF('Quick Compare'!H56:H63,"Blog/FAQ")),(COUNTIF('Quick Compare'!D56:D63,"Portfolio/Gallery")+COUNTIF('Quick Compare'!H56:H63,"Portfolio/Gallery")),(COUNTIF('Quick Compare'!D56:D63,"About page")+COUNTIF('Quick Compare'!H56:H63,"About page")),(COUNTIF('Quick Compare'!D56:D63,"Other")+COUNTIF('Quick Compare'!H56:H63,"Other"))),"Portfolio/Gallery",IF((COUNTIF('Quick Compare'!D56:D63,"About page")+COUNTIF('Quick Compare'!H56:H63,"About page"))=MAX((COUNTIF('Quick Compare'!D56:D63,"Homepage")+COUNTIF('Quick Compare'!H56:H63,"Homepage")),(COUNTIF('Quick Compare'!D56:D63,"Service page")+COUNTIF('Quick Compare'!H56:H63,"Service page")),(COUNTIF('Quick Compare'!D56:D63,"Location page")+COUNTIF('Quick Compare'!H56:H63,"Location page")),(COUNTIF('Quick Compare'!D56:D63,"Directory")+COUNTIF('Quick Compare'!H56:H63,"Directory")),(COUNTIF('Quick Compare'!D56:D63,"Blog/FAQ")+COUNTIF('Quick Compare'!H56:H63,"Blog/FAQ")),(COUNTIF('Quick Compare'!D56:D63,"Portfolio/Gallery")+COUNTIF('Quick Compare'!H56:H63,"Portfolio/Gallery")),(COUNTIF('Quick Compare'!D56:D63,"About page")+COUNTIF('Quick Compare'!H56:H63,"About page")),(COUNTIF('Quick Compare'!D56:D63,"Other")+COUNTIF('Quick Compare'!H56:H63,"Other"))),"About page","Other"))))))))))</x:f>
      </x:c>
      <x:c r="K6" s="67"/>
      <x:c r="L6" s="67"/>
    </x:row>
    <x:row r="7">
      <x:c r="A7" s="67" t="str">
        <x:f>IF('Quick Compare'!B74="","",'Quick Compare'!B74)</x:f>
      </x:c>
      <x:c r="B7" s="67" t="str">
        <x:f>IF('Quick Compare'!B75="","",'Quick Compare'!B75)</x:f>
      </x:c>
      <x:c r="C7" s="67" t="str">
        <x:f>IF('Quick Compare'!B76="","",'Quick Compare'!B76)</x:f>
      </x:c>
      <x:c r="D7" s="67" t="str">
        <x:f>IF(B7="","",'Quick Compare'!B91)</x:f>
      </x:c>
      <x:c r="E7" s="67" t="str">
        <x:f>IF(B7="","",MAX(0,'Quick Compare'!B92-'Quick Compare'!B91))</x:f>
      </x:c>
      <x:c r="F7" s="67" t="str">
        <x:f>IF(B7="","",'Quick Compare'!B93)</x:f>
      </x:c>
      <x:c r="G7" s="67" t="str">
        <x:f>IF(B7="","",'Quick Compare'!B94)</x:f>
      </x:c>
      <x:c r="H7" s="67"/>
      <x:c r="I7" s="67"/>
      <x:c r="J7" s="67" t="str">
        <x:f>IF(B7="","",IF(MAX((COUNTIF('Quick Compare'!D80:D87,"Homepage")+COUNTIF('Quick Compare'!H80:H87,"Homepage")),(COUNTIF('Quick Compare'!D80:D87,"Service page")+COUNTIF('Quick Compare'!H80:H87,"Service page")),(COUNTIF('Quick Compare'!D80:D87,"Location page")+COUNTIF('Quick Compare'!H80:H87,"Location page")),(COUNTIF('Quick Compare'!D80:D87,"Directory")+COUNTIF('Quick Compare'!H80:H87,"Directory")),(COUNTIF('Quick Compare'!D80:D87,"Blog/FAQ")+COUNTIF('Quick Compare'!H80:H87,"Blog/FAQ")),(COUNTIF('Quick Compare'!D80:D87,"Portfolio/Gallery")+COUNTIF('Quick Compare'!H80:H87,"Portfolio/Gallery")),(COUNTIF('Quick Compare'!D80:D87,"About page")+COUNTIF('Quick Compare'!H80:H87,"About page")),(COUNTIF('Quick Compare'!D80:D87,"Other")+COUNTIF('Quick Compare'!H80:H87,"Other")))=0,"",IF((--((COUNTIF('Quick Compare'!D80:D87,"Homepage")+COUNTIF('Quick Compare'!H80:H87,"Homepage"))=MAX((COUNTIF('Quick Compare'!D80:D87,"Homepage")+COUNTIF('Quick Compare'!H80:H87,"Homepage")),(COUNTIF('Quick Compare'!D80:D87,"Service page")+COUNTIF('Quick Compare'!H80:H87,"Service page")),(COUNTIF('Quick Compare'!D80:D87,"Location page")+COUNTIF('Quick Compare'!H80:H87,"Location page")),(COUNTIF('Quick Compare'!D80:D87,"Directory")+COUNTIF('Quick Compare'!H80:H87,"Directory")),(COUNTIF('Quick Compare'!D80:D87,"Blog/FAQ")+COUNTIF('Quick Compare'!H80:H87,"Blog/FAQ")),(COUNTIF('Quick Compare'!D80:D87,"Portfolio/Gallery")+COUNTIF('Quick Compare'!H80:H87,"Portfolio/Gallery")),(COUNTIF('Quick Compare'!D80:D87,"About page")+COUNTIF('Quick Compare'!H80:H87,"About page")),(COUNTIF('Quick Compare'!D80:D87,"Other")+COUNTIF('Quick Compare'!H80:H87,"Other"))))+--((COUNTIF('Quick Compare'!D80:D87,"Service page")+COUNTIF('Quick Compare'!H80:H87,"Service page"))=MAX((COUNTIF('Quick Compare'!D80:D87,"Homepage")+COUNTIF('Quick Compare'!H80:H87,"Homepage")),(COUNTIF('Quick Compare'!D80:D87,"Service page")+COUNTIF('Quick Compare'!H80:H87,"Service page")),(COUNTIF('Quick Compare'!D80:D87,"Location page")+COUNTIF('Quick Compare'!H80:H87,"Location page")),(COUNTIF('Quick Compare'!D80:D87,"Directory")+COUNTIF('Quick Compare'!H80:H87,"Directory")),(COUNTIF('Quick Compare'!D80:D87,"Blog/FAQ")+COUNTIF('Quick Compare'!H80:H87,"Blog/FAQ")),(COUNTIF('Quick Compare'!D80:D87,"Portfolio/Gallery")+COUNTIF('Quick Compare'!H80:H87,"Portfolio/Gallery")),(COUNTIF('Quick Compare'!D80:D87,"About page")+COUNTIF('Quick Compare'!H80:H87,"About page")),(COUNTIF('Quick Compare'!D80:D87,"Other")+COUNTIF('Quick Compare'!H80:H87,"Other"))))+--((COUNTIF('Quick Compare'!D80:D87,"Location page")+COUNTIF('Quick Compare'!H80:H87,"Location page"))=MAX((COUNTIF('Quick Compare'!D80:D87,"Homepage")+COUNTIF('Quick Compare'!H80:H87,"Homepage")),(COUNTIF('Quick Compare'!D80:D87,"Service page")+COUNTIF('Quick Compare'!H80:H87,"Service page")),(COUNTIF('Quick Compare'!D80:D87,"Location page")+COUNTIF('Quick Compare'!H80:H87,"Location page")),(COUNTIF('Quick Compare'!D80:D87,"Directory")+COUNTIF('Quick Compare'!H80:H87,"Directory")),(COUNTIF('Quick Compare'!D80:D87,"Blog/FAQ")+COUNTIF('Quick Compare'!H80:H87,"Blog/FAQ")),(COUNTIF('Quick Compare'!D80:D87,"Portfolio/Gallery")+COUNTIF('Quick Compare'!H80:H87,"Portfolio/Gallery")),(COUNTIF('Quick Compare'!D80:D87,"About page")+COUNTIF('Quick Compare'!H80:H87,"About page")),(COUNTIF('Quick Compare'!D80:D87,"Other")+COUNTIF('Quick Compare'!H80:H87,"Other"))))+--((COUNTIF('Quick Compare'!D80:D87,"Directory")+COUNTIF('Quick Compare'!H80:H87,"Directory"))=MAX((COUNTIF('Quick Compare'!D80:D87,"Homepage")+COUNTIF('Quick Compare'!H80:H87,"Homepage")),(COUNTIF('Quick Compare'!D80:D87,"Service page")+COUNTIF('Quick Compare'!H80:H87,"Service page")),(COUNTIF('Quick Compare'!D80:D87,"Location page")+COUNTIF('Quick Compare'!H80:H87,"Location page")),(COUNTIF('Quick Compare'!D80:D87,"Directory")+COUNTIF('Quick Compare'!H80:H87,"Directory")),(COUNTIF('Quick Compare'!D80:D87,"Blog/FAQ")+COUNTIF('Quick Compare'!H80:H87,"Blog/FAQ")),(COUNTIF('Quick Compare'!D80:D87,"Portfolio/Gallery")+COUNTIF('Quick Compare'!H80:H87,"Portfolio/Gallery")),(COUNTIF('Quick Compare'!D80:D87,"About page")+COUNTIF('Quick Compare'!H80:H87,"About page")),(COUNTIF('Quick Compare'!D80:D87,"Other")+COUNTIF('Quick Compare'!H80:H87,"Other"))))+--((COUNTIF('Quick Compare'!D80:D87,"Blog/FAQ")+COUNTIF('Quick Compare'!H80:H87,"Blog/FAQ"))=MAX((COUNTIF('Quick Compare'!D80:D87,"Homepage")+COUNTIF('Quick Compare'!H80:H87,"Homepage")),(COUNTIF('Quick Compare'!D80:D87,"Service page")+COUNTIF('Quick Compare'!H80:H87,"Service page")),(COUNTIF('Quick Compare'!D80:D87,"Location page")+COUNTIF('Quick Compare'!H80:H87,"Location page")),(COUNTIF('Quick Compare'!D80:D87,"Directory")+COUNTIF('Quick Compare'!H80:H87,"Directory")),(COUNTIF('Quick Compare'!D80:D87,"Blog/FAQ")+COUNTIF('Quick Compare'!H80:H87,"Blog/FAQ")),(COUNTIF('Quick Compare'!D80:D87,"Portfolio/Gallery")+COUNTIF('Quick Compare'!H80:H87,"Portfolio/Gallery")),(COUNTIF('Quick Compare'!D80:D87,"About page")+COUNTIF('Quick Compare'!H80:H87,"About page")),(COUNTIF('Quick Compare'!D80:D87,"Other")+COUNTIF('Quick Compare'!H80:H87,"Other"))))+--((COUNTIF('Quick Compare'!D80:D87,"Portfolio/Gallery")+COUNTIF('Quick Compare'!H80:H87,"Portfolio/Gallery"))=MAX((COUNTIF('Quick Compare'!D80:D87,"Homepage")+COUNTIF('Quick Compare'!H80:H87,"Homepage")),(COUNTIF('Quick Compare'!D80:D87,"Service page")+COUNTIF('Quick Compare'!H80:H87,"Service page")),(COUNTIF('Quick Compare'!D80:D87,"Location page")+COUNTIF('Quick Compare'!H80:H87,"Location page")),(COUNTIF('Quick Compare'!D80:D87,"Directory")+COUNTIF('Quick Compare'!H80:H87,"Directory")),(COUNTIF('Quick Compare'!D80:D87,"Blog/FAQ")+COUNTIF('Quick Compare'!H80:H87,"Blog/FAQ")),(COUNTIF('Quick Compare'!D80:D87,"Portfolio/Gallery")+COUNTIF('Quick Compare'!H80:H87,"Portfolio/Gallery")),(COUNTIF('Quick Compare'!D80:D87,"About page")+COUNTIF('Quick Compare'!H80:H87,"About page")),(COUNTIF('Quick Compare'!D80:D87,"Other")+COUNTIF('Quick Compare'!H80:H87,"Other"))))+--((COUNTIF('Quick Compare'!D80:D87,"About page")+COUNTIF('Quick Compare'!H80:H87,"About page"))=MAX((COUNTIF('Quick Compare'!D80:D87,"Homepage")+COUNTIF('Quick Compare'!H80:H87,"Homepage")),(COUNTIF('Quick Compare'!D80:D87,"Service page")+COUNTIF('Quick Compare'!H80:H87,"Service page")),(COUNTIF('Quick Compare'!D80:D87,"Location page")+COUNTIF('Quick Compare'!H80:H87,"Location page")),(COUNTIF('Quick Compare'!D80:D87,"Directory")+COUNTIF('Quick Compare'!H80:H87,"Directory")),(COUNTIF('Quick Compare'!D80:D87,"Blog/FAQ")+COUNTIF('Quick Compare'!H80:H87,"Blog/FAQ")),(COUNTIF('Quick Compare'!D80:D87,"Portfolio/Gallery")+COUNTIF('Quick Compare'!H80:H87,"Portfolio/Gallery")),(COUNTIF('Quick Compare'!D80:D87,"About page")+COUNTIF('Quick Compare'!H80:H87,"About page")),(COUNTIF('Quick Compare'!D80:D87,"Other")+COUNTIF('Quick Compare'!H80:H87,"Other"))))+--((COUNTIF('Quick Compare'!D80:D87,"Other")+COUNTIF('Quick Compare'!H80:H87,"Other"))=MAX((COUNTIF('Quick Compare'!D80:D87,"Homepage")+COUNTIF('Quick Compare'!H80:H87,"Homepage")),(COUNTIF('Quick Compare'!D80:D87,"Service page")+COUNTIF('Quick Compare'!H80:H87,"Service page")),(COUNTIF('Quick Compare'!D80:D87,"Location page")+COUNTIF('Quick Compare'!H80:H87,"Location page")),(COUNTIF('Quick Compare'!D80:D87,"Directory")+COUNTIF('Quick Compare'!H80:H87,"Directory")),(COUNTIF('Quick Compare'!D80:D87,"Blog/FAQ")+COUNTIF('Quick Compare'!H80:H87,"Blog/FAQ")),(COUNTIF('Quick Compare'!D80:D87,"Portfolio/Gallery")+COUNTIF('Quick Compare'!H80:H87,"Portfolio/Gallery")),(COUNTIF('Quick Compare'!D80:D87,"About page")+COUNTIF('Quick Compare'!H80:H87,"About page")),(COUNTIF('Quick Compare'!D80:D87,"Other")+COUNTIF('Quick Compare'!H80:H87,"Other")))))&gt;1,"Tie / review",IF((COUNTIF('Quick Compare'!D80:D87,"Homepage")+COUNTIF('Quick Compare'!H80:H87,"Homepage"))=MAX((COUNTIF('Quick Compare'!D80:D87,"Homepage")+COUNTIF('Quick Compare'!H80:H87,"Homepage")),(COUNTIF('Quick Compare'!D80:D87,"Service page")+COUNTIF('Quick Compare'!H80:H87,"Service page")),(COUNTIF('Quick Compare'!D80:D87,"Location page")+COUNTIF('Quick Compare'!H80:H87,"Location page")),(COUNTIF('Quick Compare'!D80:D87,"Directory")+COUNTIF('Quick Compare'!H80:H87,"Directory")),(COUNTIF('Quick Compare'!D80:D87,"Blog/FAQ")+COUNTIF('Quick Compare'!H80:H87,"Blog/FAQ")),(COUNTIF('Quick Compare'!D80:D87,"Portfolio/Gallery")+COUNTIF('Quick Compare'!H80:H87,"Portfolio/Gallery")),(COUNTIF('Quick Compare'!D80:D87,"About page")+COUNTIF('Quick Compare'!H80:H87,"About page")),(COUNTIF('Quick Compare'!D80:D87,"Other")+COUNTIF('Quick Compare'!H80:H87,"Other"))),"Homepage",IF((COUNTIF('Quick Compare'!D80:D87,"Service page")+COUNTIF('Quick Compare'!H80:H87,"Service page"))=MAX((COUNTIF('Quick Compare'!D80:D87,"Homepage")+COUNTIF('Quick Compare'!H80:H87,"Homepage")),(COUNTIF('Quick Compare'!D80:D87,"Service page")+COUNTIF('Quick Compare'!H80:H87,"Service page")),(COUNTIF('Quick Compare'!D80:D87,"Location page")+COUNTIF('Quick Compare'!H80:H87,"Location page")),(COUNTIF('Quick Compare'!D80:D87,"Directory")+COUNTIF('Quick Compare'!H80:H87,"Directory")),(COUNTIF('Quick Compare'!D80:D87,"Blog/FAQ")+COUNTIF('Quick Compare'!H80:H87,"Blog/FAQ")),(COUNTIF('Quick Compare'!D80:D87,"Portfolio/Gallery")+COUNTIF('Quick Compare'!H80:H87,"Portfolio/Gallery")),(COUNTIF('Quick Compare'!D80:D87,"About page")+COUNTIF('Quick Compare'!H80:H87,"About page")),(COUNTIF('Quick Compare'!D80:D87,"Other")+COUNTIF('Quick Compare'!H80:H87,"Other"))),"Service page",IF((COUNTIF('Quick Compare'!D80:D87,"Location page")+COUNTIF('Quick Compare'!H80:H87,"Location page"))=MAX((COUNTIF('Quick Compare'!D80:D87,"Homepage")+COUNTIF('Quick Compare'!H80:H87,"Homepage")),(COUNTIF('Quick Compare'!D80:D87,"Service page")+COUNTIF('Quick Compare'!H80:H87,"Service page")),(COUNTIF('Quick Compare'!D80:D87,"Location page")+COUNTIF('Quick Compare'!H80:H87,"Location page")),(COUNTIF('Quick Compare'!D80:D87,"Directory")+COUNTIF('Quick Compare'!H80:H87,"Directory")),(COUNTIF('Quick Compare'!D80:D87,"Blog/FAQ")+COUNTIF('Quick Compare'!H80:H87,"Blog/FAQ")),(COUNTIF('Quick Compare'!D80:D87,"Portfolio/Gallery")+COUNTIF('Quick Compare'!H80:H87,"Portfolio/Gallery")),(COUNTIF('Quick Compare'!D80:D87,"About page")+COUNTIF('Quick Compare'!H80:H87,"About page")),(COUNTIF('Quick Compare'!D80:D87,"Other")+COUNTIF('Quick Compare'!H80:H87,"Other"))),"Location page",IF((COUNTIF('Quick Compare'!D80:D87,"Directory")+COUNTIF('Quick Compare'!H80:H87,"Directory"))=MAX((COUNTIF('Quick Compare'!D80:D87,"Homepage")+COUNTIF('Quick Compare'!H80:H87,"Homepage")),(COUNTIF('Quick Compare'!D80:D87,"Service page")+COUNTIF('Quick Compare'!H80:H87,"Service page")),(COUNTIF('Quick Compare'!D80:D87,"Location page")+COUNTIF('Quick Compare'!H80:H87,"Location page")),(COUNTIF('Quick Compare'!D80:D87,"Directory")+COUNTIF('Quick Compare'!H80:H87,"Directory")),(COUNTIF('Quick Compare'!D80:D87,"Blog/FAQ")+COUNTIF('Quick Compare'!H80:H87,"Blog/FAQ")),(COUNTIF('Quick Compare'!D80:D87,"Portfolio/Gallery")+COUNTIF('Quick Compare'!H80:H87,"Portfolio/Gallery")),(COUNTIF('Quick Compare'!D80:D87,"About page")+COUNTIF('Quick Compare'!H80:H87,"About page")),(COUNTIF('Quick Compare'!D80:D87,"Other")+COUNTIF('Quick Compare'!H80:H87,"Other"))),"Directory",IF((COUNTIF('Quick Compare'!D80:D87,"Blog/FAQ")+COUNTIF('Quick Compare'!H80:H87,"Blog/FAQ"))=MAX((COUNTIF('Quick Compare'!D80:D87,"Homepage")+COUNTIF('Quick Compare'!H80:H87,"Homepage")),(COUNTIF('Quick Compare'!D80:D87,"Service page")+COUNTIF('Quick Compare'!H80:H87,"Service page")),(COUNTIF('Quick Compare'!D80:D87,"Location page")+COUNTIF('Quick Compare'!H80:H87,"Location page")),(COUNTIF('Quick Compare'!D80:D87,"Directory")+COUNTIF('Quick Compare'!H80:H87,"Directory")),(COUNTIF('Quick Compare'!D80:D87,"Blog/FAQ")+COUNTIF('Quick Compare'!H80:H87,"Blog/FAQ")),(COUNTIF('Quick Compare'!D80:D87,"Portfolio/Gallery")+COUNTIF('Quick Compare'!H80:H87,"Portfolio/Gallery")),(COUNTIF('Quick Compare'!D80:D87,"About page")+COUNTIF('Quick Compare'!H80:H87,"About page")),(COUNTIF('Quick Compare'!D80:D87,"Other")+COUNTIF('Quick Compare'!H80:H87,"Other"))),"Blog/FAQ",IF((COUNTIF('Quick Compare'!D80:D87,"Portfolio/Gallery")+COUNTIF('Quick Compare'!H80:H87,"Portfolio/Gallery"))=MAX((COUNTIF('Quick Compare'!D80:D87,"Homepage")+COUNTIF('Quick Compare'!H80:H87,"Homepage")),(COUNTIF('Quick Compare'!D80:D87,"Service page")+COUNTIF('Quick Compare'!H80:H87,"Service page")),(COUNTIF('Quick Compare'!D80:D87,"Location page")+COUNTIF('Quick Compare'!H80:H87,"Location page")),(COUNTIF('Quick Compare'!D80:D87,"Directory")+COUNTIF('Quick Compare'!H80:H87,"Directory")),(COUNTIF('Quick Compare'!D80:D87,"Blog/FAQ")+COUNTIF('Quick Compare'!H80:H87,"Blog/FAQ")),(COUNTIF('Quick Compare'!D80:D87,"Portfolio/Gallery")+COUNTIF('Quick Compare'!H80:H87,"Portfolio/Gallery")),(COUNTIF('Quick Compare'!D80:D87,"About page")+COUNTIF('Quick Compare'!H80:H87,"About page")),(COUNTIF('Quick Compare'!D80:D87,"Other")+COUNTIF('Quick Compare'!H80:H87,"Other"))),"Portfolio/Gallery",IF((COUNTIF('Quick Compare'!D80:D87,"About page")+COUNTIF('Quick Compare'!H80:H87,"About page"))=MAX((COUNTIF('Quick Compare'!D80:D87,"Homepage")+COUNTIF('Quick Compare'!H80:H87,"Homepage")),(COUNTIF('Quick Compare'!D80:D87,"Service page")+COUNTIF('Quick Compare'!H80:H87,"Service page")),(COUNTIF('Quick Compare'!D80:D87,"Location page")+COUNTIF('Quick Compare'!H80:H87,"Location page")),(COUNTIF('Quick Compare'!D80:D87,"Directory")+COUNTIF('Quick Compare'!H80:H87,"Directory")),(COUNTIF('Quick Compare'!D80:D87,"Blog/FAQ")+COUNTIF('Quick Compare'!H80:H87,"Blog/FAQ")),(COUNTIF('Quick Compare'!D80:D87,"Portfolio/Gallery")+COUNTIF('Quick Compare'!H80:H87,"Portfolio/Gallery")),(COUNTIF('Quick Compare'!D80:D87,"About page")+COUNTIF('Quick Compare'!H80:H87,"About page")),(COUNTIF('Quick Compare'!D80:D87,"Other")+COUNTIF('Quick Compare'!H80:H87,"Other"))),"About page","Other"))))))))))</x:f>
      </x:c>
      <x:c r="K7" s="67"/>
      <x:c r="L7" s="67"/>
    </x:row>
    <x:row r="8">
      <x:c r="A8" s="67" t="str">
        <x:f>IF('Quick Compare'!B98="","",'Quick Compare'!B98)</x:f>
      </x:c>
      <x:c r="B8" s="67" t="str">
        <x:f>IF('Quick Compare'!B99="","",'Quick Compare'!B99)</x:f>
      </x:c>
      <x:c r="C8" s="67" t="str">
        <x:f>IF('Quick Compare'!B100="","",'Quick Compare'!B100)</x:f>
      </x:c>
      <x:c r="D8" s="67" t="str">
        <x:f>IF(B8="","",'Quick Compare'!B115)</x:f>
      </x:c>
      <x:c r="E8" s="67" t="str">
        <x:f>IF(B8="","",MAX(0,'Quick Compare'!B116-'Quick Compare'!B115))</x:f>
      </x:c>
      <x:c r="F8" s="67" t="str">
        <x:f>IF(B8="","",'Quick Compare'!B117)</x:f>
      </x:c>
      <x:c r="G8" s="67" t="str">
        <x:f>IF(B8="","",'Quick Compare'!B118)</x:f>
      </x:c>
      <x:c r="H8" s="67"/>
      <x:c r="I8" s="67"/>
      <x:c r="J8" s="67" t="str">
        <x:f>IF(B8="","",IF(MAX((COUNTIF('Quick Compare'!D104:D111,"Homepage")+COUNTIF('Quick Compare'!H104:H111,"Homepage")),(COUNTIF('Quick Compare'!D104:D111,"Service page")+COUNTIF('Quick Compare'!H104:H111,"Service page")),(COUNTIF('Quick Compare'!D104:D111,"Location page")+COUNTIF('Quick Compare'!H104:H111,"Location page")),(COUNTIF('Quick Compare'!D104:D111,"Directory")+COUNTIF('Quick Compare'!H104:H111,"Directory")),(COUNTIF('Quick Compare'!D104:D111,"Blog/FAQ")+COUNTIF('Quick Compare'!H104:H111,"Blog/FAQ")),(COUNTIF('Quick Compare'!D104:D111,"Portfolio/Gallery")+COUNTIF('Quick Compare'!H104:H111,"Portfolio/Gallery")),(COUNTIF('Quick Compare'!D104:D111,"About page")+COUNTIF('Quick Compare'!H104:H111,"About page")),(COUNTIF('Quick Compare'!D104:D111,"Other")+COUNTIF('Quick Compare'!H104:H111,"Other")))=0,"",IF((--((COUNTIF('Quick Compare'!D104:D111,"Homepage")+COUNTIF('Quick Compare'!H104:H111,"Homepage"))=MAX((COUNTIF('Quick Compare'!D104:D111,"Homepage")+COUNTIF('Quick Compare'!H104:H111,"Homepage")),(COUNTIF('Quick Compare'!D104:D111,"Service page")+COUNTIF('Quick Compare'!H104:H111,"Service page")),(COUNTIF('Quick Compare'!D104:D111,"Location page")+COUNTIF('Quick Compare'!H104:H111,"Location page")),(COUNTIF('Quick Compare'!D104:D111,"Directory")+COUNTIF('Quick Compare'!H104:H111,"Directory")),(COUNTIF('Quick Compare'!D104:D111,"Blog/FAQ")+COUNTIF('Quick Compare'!H104:H111,"Blog/FAQ")),(COUNTIF('Quick Compare'!D104:D111,"Portfolio/Gallery")+COUNTIF('Quick Compare'!H104:H111,"Portfolio/Gallery")),(COUNTIF('Quick Compare'!D104:D111,"About page")+COUNTIF('Quick Compare'!H104:H111,"About page")),(COUNTIF('Quick Compare'!D104:D111,"Other")+COUNTIF('Quick Compare'!H104:H111,"Other"))))+--((COUNTIF('Quick Compare'!D104:D111,"Service page")+COUNTIF('Quick Compare'!H104:H111,"Service page"))=MAX((COUNTIF('Quick Compare'!D104:D111,"Homepage")+COUNTIF('Quick Compare'!H104:H111,"Homepage")),(COUNTIF('Quick Compare'!D104:D111,"Service page")+COUNTIF('Quick Compare'!H104:H111,"Service page")),(COUNTIF('Quick Compare'!D104:D111,"Location page")+COUNTIF('Quick Compare'!H104:H111,"Location page")),(COUNTIF('Quick Compare'!D104:D111,"Directory")+COUNTIF('Quick Compare'!H104:H111,"Directory")),(COUNTIF('Quick Compare'!D104:D111,"Blog/FAQ")+COUNTIF('Quick Compare'!H104:H111,"Blog/FAQ")),(COUNTIF('Quick Compare'!D104:D111,"Portfolio/Gallery")+COUNTIF('Quick Compare'!H104:H111,"Portfolio/Gallery")),(COUNTIF('Quick Compare'!D104:D111,"About page")+COUNTIF('Quick Compare'!H104:H111,"About page")),(COUNTIF('Quick Compare'!D104:D111,"Other")+COUNTIF('Quick Compare'!H104:H111,"Other"))))+--((COUNTIF('Quick Compare'!D104:D111,"Location page")+COUNTIF('Quick Compare'!H104:H111,"Location page"))=MAX((COUNTIF('Quick Compare'!D104:D111,"Homepage")+COUNTIF('Quick Compare'!H104:H111,"Homepage")),(COUNTIF('Quick Compare'!D104:D111,"Service page")+COUNTIF('Quick Compare'!H104:H111,"Service page")),(COUNTIF('Quick Compare'!D104:D111,"Location page")+COUNTIF('Quick Compare'!H104:H111,"Location page")),(COUNTIF('Quick Compare'!D104:D111,"Directory")+COUNTIF('Quick Compare'!H104:H111,"Directory")),(COUNTIF('Quick Compare'!D104:D111,"Blog/FAQ")+COUNTIF('Quick Compare'!H104:H111,"Blog/FAQ")),(COUNTIF('Quick Compare'!D104:D111,"Portfolio/Gallery")+COUNTIF('Quick Compare'!H104:H111,"Portfolio/Gallery")),(COUNTIF('Quick Compare'!D104:D111,"About page")+COUNTIF('Quick Compare'!H104:H111,"About page")),(COUNTIF('Quick Compare'!D104:D111,"Other")+COUNTIF('Quick Compare'!H104:H111,"Other"))))+--((COUNTIF('Quick Compare'!D104:D111,"Directory")+COUNTIF('Quick Compare'!H104:H111,"Directory"))=MAX((COUNTIF('Quick Compare'!D104:D111,"Homepage")+COUNTIF('Quick Compare'!H104:H111,"Homepage")),(COUNTIF('Quick Compare'!D104:D111,"Service page")+COUNTIF('Quick Compare'!H104:H111,"Service page")),(COUNTIF('Quick Compare'!D104:D111,"Location page")+COUNTIF('Quick Compare'!H104:H111,"Location page")),(COUNTIF('Quick Compare'!D104:D111,"Directory")+COUNTIF('Quick Compare'!H104:H111,"Directory")),(COUNTIF('Quick Compare'!D104:D111,"Blog/FAQ")+COUNTIF('Quick Compare'!H104:H111,"Blog/FAQ")),(COUNTIF('Quick Compare'!D104:D111,"Portfolio/Gallery")+COUNTIF('Quick Compare'!H104:H111,"Portfolio/Gallery")),(COUNTIF('Quick Compare'!D104:D111,"About page")+COUNTIF('Quick Compare'!H104:H111,"About page")),(COUNTIF('Quick Compare'!D104:D111,"Other")+COUNTIF('Quick Compare'!H104:H111,"Other"))))+--((COUNTIF('Quick Compare'!D104:D111,"Blog/FAQ")+COUNTIF('Quick Compare'!H104:H111,"Blog/FAQ"))=MAX((COUNTIF('Quick Compare'!D104:D111,"Homepage")+COUNTIF('Quick Compare'!H104:H111,"Homepage")),(COUNTIF('Quick Compare'!D104:D111,"Service page")+COUNTIF('Quick Compare'!H104:H111,"Service page")),(COUNTIF('Quick Compare'!D104:D111,"Location page")+COUNTIF('Quick Compare'!H104:H111,"Location page")),(COUNTIF('Quick Compare'!D104:D111,"Directory")+COUNTIF('Quick Compare'!H104:H111,"Directory")),(COUNTIF('Quick Compare'!D104:D111,"Blog/FAQ")+COUNTIF('Quick Compare'!H104:H111,"Blog/FAQ")),(COUNTIF('Quick Compare'!D104:D111,"Portfolio/Gallery")+COUNTIF('Quick Compare'!H104:H111,"Portfolio/Gallery")),(COUNTIF('Quick Compare'!D104:D111,"About page")+COUNTIF('Quick Compare'!H104:H111,"About page")),(COUNTIF('Quick Compare'!D104:D111,"Other")+COUNTIF('Quick Compare'!H104:H111,"Other"))))+--((COUNTIF('Quick Compare'!D104:D111,"Portfolio/Gallery")+COUNTIF('Quick Compare'!H104:H111,"Portfolio/Gallery"))=MAX((COUNTIF('Quick Compare'!D104:D111,"Homepage")+COUNTIF('Quick Compare'!H104:H111,"Homepage")),(COUNTIF('Quick Compare'!D104:D111,"Service page")+COUNTIF('Quick Compare'!H104:H111,"Service page")),(COUNTIF('Quick Compare'!D104:D111,"Location page")+COUNTIF('Quick Compare'!H104:H111,"Location page")),(COUNTIF('Quick Compare'!D104:D111,"Directory")+COUNTIF('Quick Compare'!H104:H111,"Directory")),(COUNTIF('Quick Compare'!D104:D111,"Blog/FAQ")+COUNTIF('Quick Compare'!H104:H111,"Blog/FAQ")),(COUNTIF('Quick Compare'!D104:D111,"Portfolio/Gallery")+COUNTIF('Quick Compare'!H104:H111,"Portfolio/Gallery")),(COUNTIF('Quick Compare'!D104:D111,"About page")+COUNTIF('Quick Compare'!H104:H111,"About page")),(COUNTIF('Quick Compare'!D104:D111,"Other")+COUNTIF('Quick Compare'!H104:H111,"Other"))))+--((COUNTIF('Quick Compare'!D104:D111,"About page")+COUNTIF('Quick Compare'!H104:H111,"About page"))=MAX((COUNTIF('Quick Compare'!D104:D111,"Homepage")+COUNTIF('Quick Compare'!H104:H111,"Homepage")),(COUNTIF('Quick Compare'!D104:D111,"Service page")+COUNTIF('Quick Compare'!H104:H111,"Service page")),(COUNTIF('Quick Compare'!D104:D111,"Location page")+COUNTIF('Quick Compare'!H104:H111,"Location page")),(COUNTIF('Quick Compare'!D104:D111,"Directory")+COUNTIF('Quick Compare'!H104:H111,"Directory")),(COUNTIF('Quick Compare'!D104:D111,"Blog/FAQ")+COUNTIF('Quick Compare'!H104:H111,"Blog/FAQ")),(COUNTIF('Quick Compare'!D104:D111,"Portfolio/Gallery")+COUNTIF('Quick Compare'!H104:H111,"Portfolio/Gallery")),(COUNTIF('Quick Compare'!D104:D111,"About page")+COUNTIF('Quick Compare'!H104:H111,"About page")),(COUNTIF('Quick Compare'!D104:D111,"Other")+COUNTIF('Quick Compare'!H104:H111,"Other"))))+--((COUNTIF('Quick Compare'!D104:D111,"Other")+COUNTIF('Quick Compare'!H104:H111,"Other"))=MAX((COUNTIF('Quick Compare'!D104:D111,"Homepage")+COUNTIF('Quick Compare'!H104:H111,"Homepage")),(COUNTIF('Quick Compare'!D104:D111,"Service page")+COUNTIF('Quick Compare'!H104:H111,"Service page")),(COUNTIF('Quick Compare'!D104:D111,"Location page")+COUNTIF('Quick Compare'!H104:H111,"Location page")),(COUNTIF('Quick Compare'!D104:D111,"Directory")+COUNTIF('Quick Compare'!H104:H111,"Directory")),(COUNTIF('Quick Compare'!D104:D111,"Blog/FAQ")+COUNTIF('Quick Compare'!H104:H111,"Blog/FAQ")),(COUNTIF('Quick Compare'!D104:D111,"Portfolio/Gallery")+COUNTIF('Quick Compare'!H104:H111,"Portfolio/Gallery")),(COUNTIF('Quick Compare'!D104:D111,"About page")+COUNTIF('Quick Compare'!H104:H111,"About page")),(COUNTIF('Quick Compare'!D104:D111,"Other")+COUNTIF('Quick Compare'!H104:H111,"Other")))))&gt;1,"Tie / review",IF((COUNTIF('Quick Compare'!D104:D111,"Homepage")+COUNTIF('Quick Compare'!H104:H111,"Homepage"))=MAX((COUNTIF('Quick Compare'!D104:D111,"Homepage")+COUNTIF('Quick Compare'!H104:H111,"Homepage")),(COUNTIF('Quick Compare'!D104:D111,"Service page")+COUNTIF('Quick Compare'!H104:H111,"Service page")),(COUNTIF('Quick Compare'!D104:D111,"Location page")+COUNTIF('Quick Compare'!H104:H111,"Location page")),(COUNTIF('Quick Compare'!D104:D111,"Directory")+COUNTIF('Quick Compare'!H104:H111,"Directory")),(COUNTIF('Quick Compare'!D104:D111,"Blog/FAQ")+COUNTIF('Quick Compare'!H104:H111,"Blog/FAQ")),(COUNTIF('Quick Compare'!D104:D111,"Portfolio/Gallery")+COUNTIF('Quick Compare'!H104:H111,"Portfolio/Gallery")),(COUNTIF('Quick Compare'!D104:D111,"About page")+COUNTIF('Quick Compare'!H104:H111,"About page")),(COUNTIF('Quick Compare'!D104:D111,"Other")+COUNTIF('Quick Compare'!H104:H111,"Other"))),"Homepage",IF((COUNTIF('Quick Compare'!D104:D111,"Service page")+COUNTIF('Quick Compare'!H104:H111,"Service page"))=MAX((COUNTIF('Quick Compare'!D104:D111,"Homepage")+COUNTIF('Quick Compare'!H104:H111,"Homepage")),(COUNTIF('Quick Compare'!D104:D111,"Service page")+COUNTIF('Quick Compare'!H104:H111,"Service page")),(COUNTIF('Quick Compare'!D104:D111,"Location page")+COUNTIF('Quick Compare'!H104:H111,"Location page")),(COUNTIF('Quick Compare'!D104:D111,"Directory")+COUNTIF('Quick Compare'!H104:H111,"Directory")),(COUNTIF('Quick Compare'!D104:D111,"Blog/FAQ")+COUNTIF('Quick Compare'!H104:H111,"Blog/FAQ")),(COUNTIF('Quick Compare'!D104:D111,"Portfolio/Gallery")+COUNTIF('Quick Compare'!H104:H111,"Portfolio/Gallery")),(COUNTIF('Quick Compare'!D104:D111,"About page")+COUNTIF('Quick Compare'!H104:H111,"About page")),(COUNTIF('Quick Compare'!D104:D111,"Other")+COUNTIF('Quick Compare'!H104:H111,"Other"))),"Service page",IF((COUNTIF('Quick Compare'!D104:D111,"Location page")+COUNTIF('Quick Compare'!H104:H111,"Location page"))=MAX((COUNTIF('Quick Compare'!D104:D111,"Homepage")+COUNTIF('Quick Compare'!H104:H111,"Homepage")),(COUNTIF('Quick Compare'!D104:D111,"Service page")+COUNTIF('Quick Compare'!H104:H111,"Service page")),(COUNTIF('Quick Compare'!D104:D111,"Location page")+COUNTIF('Quick Compare'!H104:H111,"Location page")),(COUNTIF('Quick Compare'!D104:D111,"Directory")+COUNTIF('Quick Compare'!H104:H111,"Directory")),(COUNTIF('Quick Compare'!D104:D111,"Blog/FAQ")+COUNTIF('Quick Compare'!H104:H111,"Blog/FAQ")),(COUNTIF('Quick Compare'!D104:D111,"Portfolio/Gallery")+COUNTIF('Quick Compare'!H104:H111,"Portfolio/Gallery")),(COUNTIF('Quick Compare'!D104:D111,"About page")+COUNTIF('Quick Compare'!H104:H111,"About page")),(COUNTIF('Quick Compare'!D104:D111,"Other")+COUNTIF('Quick Compare'!H104:H111,"Other"))),"Location page",IF((COUNTIF('Quick Compare'!D104:D111,"Directory")+COUNTIF('Quick Compare'!H104:H111,"Directory"))=MAX((COUNTIF('Quick Compare'!D104:D111,"Homepage")+COUNTIF('Quick Compare'!H104:H111,"Homepage")),(COUNTIF('Quick Compare'!D104:D111,"Service page")+COUNTIF('Quick Compare'!H104:H111,"Service page")),(COUNTIF('Quick Compare'!D104:D111,"Location page")+COUNTIF('Quick Compare'!H104:H111,"Location page")),(COUNTIF('Quick Compare'!D104:D111,"Directory")+COUNTIF('Quick Compare'!H104:H111,"Directory")),(COUNTIF('Quick Compare'!D104:D111,"Blog/FAQ")+COUNTIF('Quick Compare'!H104:H111,"Blog/FAQ")),(COUNTIF('Quick Compare'!D104:D111,"Portfolio/Gallery")+COUNTIF('Quick Compare'!H104:H111,"Portfolio/Gallery")),(COUNTIF('Quick Compare'!D104:D111,"About page")+COUNTIF('Quick Compare'!H104:H111,"About page")),(COUNTIF('Quick Compare'!D104:D111,"Other")+COUNTIF('Quick Compare'!H104:H111,"Other"))),"Directory",IF((COUNTIF('Quick Compare'!D104:D111,"Blog/FAQ")+COUNTIF('Quick Compare'!H104:H111,"Blog/FAQ"))=MAX((COUNTIF('Quick Compare'!D104:D111,"Homepage")+COUNTIF('Quick Compare'!H104:H111,"Homepage")),(COUNTIF('Quick Compare'!D104:D111,"Service page")+COUNTIF('Quick Compare'!H104:H111,"Service page")),(COUNTIF('Quick Compare'!D104:D111,"Location page")+COUNTIF('Quick Compare'!H104:H111,"Location page")),(COUNTIF('Quick Compare'!D104:D111,"Directory")+COUNTIF('Quick Compare'!H104:H111,"Directory")),(COUNTIF('Quick Compare'!D104:D111,"Blog/FAQ")+COUNTIF('Quick Compare'!H104:H111,"Blog/FAQ")),(COUNTIF('Quick Compare'!D104:D111,"Portfolio/Gallery")+COUNTIF('Quick Compare'!H104:H111,"Portfolio/Gallery")),(COUNTIF('Quick Compare'!D104:D111,"About page")+COUNTIF('Quick Compare'!H104:H111,"About page")),(COUNTIF('Quick Compare'!D104:D111,"Other")+COUNTIF('Quick Compare'!H104:H111,"Other"))),"Blog/FAQ",IF((COUNTIF('Quick Compare'!D104:D111,"Portfolio/Gallery")+COUNTIF('Quick Compare'!H104:H111,"Portfolio/Gallery"))=MAX((COUNTIF('Quick Compare'!D104:D111,"Homepage")+COUNTIF('Quick Compare'!H104:H111,"Homepage")),(COUNTIF('Quick Compare'!D104:D111,"Service page")+COUNTIF('Quick Compare'!H104:H111,"Service page")),(COUNTIF('Quick Compare'!D104:D111,"Location page")+COUNTIF('Quick Compare'!H104:H111,"Location page")),(COUNTIF('Quick Compare'!D104:D111,"Directory")+COUNTIF('Quick Compare'!H104:H111,"Directory")),(COUNTIF('Quick Compare'!D104:D111,"Blog/FAQ")+COUNTIF('Quick Compare'!H104:H111,"Blog/FAQ")),(COUNTIF('Quick Compare'!D104:D111,"Portfolio/Gallery")+COUNTIF('Quick Compare'!H104:H111,"Portfolio/Gallery")),(COUNTIF('Quick Compare'!D104:D111,"About page")+COUNTIF('Quick Compare'!H104:H111,"About page")),(COUNTIF('Quick Compare'!D104:D111,"Other")+COUNTIF('Quick Compare'!H104:H111,"Other"))),"Portfolio/Gallery",IF((COUNTIF('Quick Compare'!D104:D111,"About page")+COUNTIF('Quick Compare'!H104:H111,"About page"))=MAX((COUNTIF('Quick Compare'!D104:D111,"Homepage")+COUNTIF('Quick Compare'!H104:H111,"Homepage")),(COUNTIF('Quick Compare'!D104:D111,"Service page")+COUNTIF('Quick Compare'!H104:H111,"Service page")),(COUNTIF('Quick Compare'!D104:D111,"Location page")+COUNTIF('Quick Compare'!H104:H111,"Location page")),(COUNTIF('Quick Compare'!D104:D111,"Directory")+COUNTIF('Quick Compare'!H104:H111,"Directory")),(COUNTIF('Quick Compare'!D104:D111,"Blog/FAQ")+COUNTIF('Quick Compare'!H104:H111,"Blog/FAQ")),(COUNTIF('Quick Compare'!D104:D111,"Portfolio/Gallery")+COUNTIF('Quick Compare'!H104:H111,"Portfolio/Gallery")),(COUNTIF('Quick Compare'!D104:D111,"About page")+COUNTIF('Quick Compare'!H104:H111,"About page")),(COUNTIF('Quick Compare'!D104:D111,"Other")+COUNTIF('Quick Compare'!H104:H111,"Other"))),"About page","Other"))))))))))</x:f>
      </x:c>
      <x:c r="K8" s="67"/>
      <x:c r="L8" s="67"/>
    </x:row>
    <x:row r="9">
      <x:c r="A9" s="67" t="str">
        <x:f>IF('Quick Compare'!B122="","",'Quick Compare'!B122)</x:f>
      </x:c>
      <x:c r="B9" s="67" t="str">
        <x:f>IF('Quick Compare'!B123="","",'Quick Compare'!B123)</x:f>
      </x:c>
      <x:c r="C9" s="67" t="str">
        <x:f>IF('Quick Compare'!B124="","",'Quick Compare'!B124)</x:f>
      </x:c>
      <x:c r="D9" s="67" t="str">
        <x:f>IF(B9="","",'Quick Compare'!B139)</x:f>
      </x:c>
      <x:c r="E9" s="67" t="str">
        <x:f>IF(B9="","",MAX(0,'Quick Compare'!B140-'Quick Compare'!B139))</x:f>
      </x:c>
      <x:c r="F9" s="67" t="str">
        <x:f>IF(B9="","",'Quick Compare'!B141)</x:f>
      </x:c>
      <x:c r="G9" s="67" t="str">
        <x:f>IF(B9="","",'Quick Compare'!B142)</x:f>
      </x:c>
      <x:c r="H9" s="67"/>
      <x:c r="I9" s="67"/>
      <x:c r="J9" s="67" t="str">
        <x:f>IF(B9="","",IF(MAX((COUNTIF('Quick Compare'!D128:D135,"Homepage")+COUNTIF('Quick Compare'!H128:H135,"Homepage")),(COUNTIF('Quick Compare'!D128:D135,"Service page")+COUNTIF('Quick Compare'!H128:H135,"Service page")),(COUNTIF('Quick Compare'!D128:D135,"Location page")+COUNTIF('Quick Compare'!H128:H135,"Location page")),(COUNTIF('Quick Compare'!D128:D135,"Directory")+COUNTIF('Quick Compare'!H128:H135,"Directory")),(COUNTIF('Quick Compare'!D128:D135,"Blog/FAQ")+COUNTIF('Quick Compare'!H128:H135,"Blog/FAQ")),(COUNTIF('Quick Compare'!D128:D135,"Portfolio/Gallery")+COUNTIF('Quick Compare'!H128:H135,"Portfolio/Gallery")),(COUNTIF('Quick Compare'!D128:D135,"About page")+COUNTIF('Quick Compare'!H128:H135,"About page")),(COUNTIF('Quick Compare'!D128:D135,"Other")+COUNTIF('Quick Compare'!H128:H135,"Other")))=0,"",IF((--((COUNTIF('Quick Compare'!D128:D135,"Homepage")+COUNTIF('Quick Compare'!H128:H135,"Homepage"))=MAX((COUNTIF('Quick Compare'!D128:D135,"Homepage")+COUNTIF('Quick Compare'!H128:H135,"Homepage")),(COUNTIF('Quick Compare'!D128:D135,"Service page")+COUNTIF('Quick Compare'!H128:H135,"Service page")),(COUNTIF('Quick Compare'!D128:D135,"Location page")+COUNTIF('Quick Compare'!H128:H135,"Location page")),(COUNTIF('Quick Compare'!D128:D135,"Directory")+COUNTIF('Quick Compare'!H128:H135,"Directory")),(COUNTIF('Quick Compare'!D128:D135,"Blog/FAQ")+COUNTIF('Quick Compare'!H128:H135,"Blog/FAQ")),(COUNTIF('Quick Compare'!D128:D135,"Portfolio/Gallery")+COUNTIF('Quick Compare'!H128:H135,"Portfolio/Gallery")),(COUNTIF('Quick Compare'!D128:D135,"About page")+COUNTIF('Quick Compare'!H128:H135,"About page")),(COUNTIF('Quick Compare'!D128:D135,"Other")+COUNTIF('Quick Compare'!H128:H135,"Other"))))+--((COUNTIF('Quick Compare'!D128:D135,"Service page")+COUNTIF('Quick Compare'!H128:H135,"Service page"))=MAX((COUNTIF('Quick Compare'!D128:D135,"Homepage")+COUNTIF('Quick Compare'!H128:H135,"Homepage")),(COUNTIF('Quick Compare'!D128:D135,"Service page")+COUNTIF('Quick Compare'!H128:H135,"Service page")),(COUNTIF('Quick Compare'!D128:D135,"Location page")+COUNTIF('Quick Compare'!H128:H135,"Location page")),(COUNTIF('Quick Compare'!D128:D135,"Directory")+COUNTIF('Quick Compare'!H128:H135,"Directory")),(COUNTIF('Quick Compare'!D128:D135,"Blog/FAQ")+COUNTIF('Quick Compare'!H128:H135,"Blog/FAQ")),(COUNTIF('Quick Compare'!D128:D135,"Portfolio/Gallery")+COUNTIF('Quick Compare'!H128:H135,"Portfolio/Gallery")),(COUNTIF('Quick Compare'!D128:D135,"About page")+COUNTIF('Quick Compare'!H128:H135,"About page")),(COUNTIF('Quick Compare'!D128:D135,"Other")+COUNTIF('Quick Compare'!H128:H135,"Other"))))+--((COUNTIF('Quick Compare'!D128:D135,"Location page")+COUNTIF('Quick Compare'!H128:H135,"Location page"))=MAX((COUNTIF('Quick Compare'!D128:D135,"Homepage")+COUNTIF('Quick Compare'!H128:H135,"Homepage")),(COUNTIF('Quick Compare'!D128:D135,"Service page")+COUNTIF('Quick Compare'!H128:H135,"Service page")),(COUNTIF('Quick Compare'!D128:D135,"Location page")+COUNTIF('Quick Compare'!H128:H135,"Location page")),(COUNTIF('Quick Compare'!D128:D135,"Directory")+COUNTIF('Quick Compare'!H128:H135,"Directory")),(COUNTIF('Quick Compare'!D128:D135,"Blog/FAQ")+COUNTIF('Quick Compare'!H128:H135,"Blog/FAQ")),(COUNTIF('Quick Compare'!D128:D135,"Portfolio/Gallery")+COUNTIF('Quick Compare'!H128:H135,"Portfolio/Gallery")),(COUNTIF('Quick Compare'!D128:D135,"About page")+COUNTIF('Quick Compare'!H128:H135,"About page")),(COUNTIF('Quick Compare'!D128:D135,"Other")+COUNTIF('Quick Compare'!H128:H135,"Other"))))+--((COUNTIF('Quick Compare'!D128:D135,"Directory")+COUNTIF('Quick Compare'!H128:H135,"Directory"))=MAX((COUNTIF('Quick Compare'!D128:D135,"Homepage")+COUNTIF('Quick Compare'!H128:H135,"Homepage")),(COUNTIF('Quick Compare'!D128:D135,"Service page")+COUNTIF('Quick Compare'!H128:H135,"Service page")),(COUNTIF('Quick Compare'!D128:D135,"Location page")+COUNTIF('Quick Compare'!H128:H135,"Location page")),(COUNTIF('Quick Compare'!D128:D135,"Directory")+COUNTIF('Quick Compare'!H128:H135,"Directory")),(COUNTIF('Quick Compare'!D128:D135,"Blog/FAQ")+COUNTIF('Quick Compare'!H128:H135,"Blog/FAQ")),(COUNTIF('Quick Compare'!D128:D135,"Portfolio/Gallery")+COUNTIF('Quick Compare'!H128:H135,"Portfolio/Gallery")),(COUNTIF('Quick Compare'!D128:D135,"About page")+COUNTIF('Quick Compare'!H128:H135,"About page")),(COUNTIF('Quick Compare'!D128:D135,"Other")+COUNTIF('Quick Compare'!H128:H135,"Other"))))+--((COUNTIF('Quick Compare'!D128:D135,"Blog/FAQ")+COUNTIF('Quick Compare'!H128:H135,"Blog/FAQ"))=MAX((COUNTIF('Quick Compare'!D128:D135,"Homepage")+COUNTIF('Quick Compare'!H128:H135,"Homepage")),(COUNTIF('Quick Compare'!D128:D135,"Service page")+COUNTIF('Quick Compare'!H128:H135,"Service page")),(COUNTIF('Quick Compare'!D128:D135,"Location page")+COUNTIF('Quick Compare'!H128:H135,"Location page")),(COUNTIF('Quick Compare'!D128:D135,"Directory")+COUNTIF('Quick Compare'!H128:H135,"Directory")),(COUNTIF('Quick Compare'!D128:D135,"Blog/FAQ")+COUNTIF('Quick Compare'!H128:H135,"Blog/FAQ")),(COUNTIF('Quick Compare'!D128:D135,"Portfolio/Gallery")+COUNTIF('Quick Compare'!H128:H135,"Portfolio/Gallery")),(COUNTIF('Quick Compare'!D128:D135,"About page")+COUNTIF('Quick Compare'!H128:H135,"About page")),(COUNTIF('Quick Compare'!D128:D135,"Other")+COUNTIF('Quick Compare'!H128:H135,"Other"))))+--((COUNTIF('Quick Compare'!D128:D135,"Portfolio/Gallery")+COUNTIF('Quick Compare'!H128:H135,"Portfolio/Gallery"))=MAX((COUNTIF('Quick Compare'!D128:D135,"Homepage")+COUNTIF('Quick Compare'!H128:H135,"Homepage")),(COUNTIF('Quick Compare'!D128:D135,"Service page")+COUNTIF('Quick Compare'!H128:H135,"Service page")),(COUNTIF('Quick Compare'!D128:D135,"Location page")+COUNTIF('Quick Compare'!H128:H135,"Location page")),(COUNTIF('Quick Compare'!D128:D135,"Directory")+COUNTIF('Quick Compare'!H128:H135,"Directory")),(COUNTIF('Quick Compare'!D128:D135,"Blog/FAQ")+COUNTIF('Quick Compare'!H128:H135,"Blog/FAQ")),(COUNTIF('Quick Compare'!D128:D135,"Portfolio/Gallery")+COUNTIF('Quick Compare'!H128:H135,"Portfolio/Gallery")),(COUNTIF('Quick Compare'!D128:D135,"About page")+COUNTIF('Quick Compare'!H128:H135,"About page")),(COUNTIF('Quick Compare'!D128:D135,"Other")+COUNTIF('Quick Compare'!H128:H135,"Other"))))+--((COUNTIF('Quick Compare'!D128:D135,"About page")+COUNTIF('Quick Compare'!H128:H135,"About page"))=MAX((COUNTIF('Quick Compare'!D128:D135,"Homepage")+COUNTIF('Quick Compare'!H128:H135,"Homepage")),(COUNTIF('Quick Compare'!D128:D135,"Service page")+COUNTIF('Quick Compare'!H128:H135,"Service page")),(COUNTIF('Quick Compare'!D128:D135,"Location page")+COUNTIF('Quick Compare'!H128:H135,"Location page")),(COUNTIF('Quick Compare'!D128:D135,"Directory")+COUNTIF('Quick Compare'!H128:H135,"Directory")),(COUNTIF('Quick Compare'!D128:D135,"Blog/FAQ")+COUNTIF('Quick Compare'!H128:H135,"Blog/FAQ")),(COUNTIF('Quick Compare'!D128:D135,"Portfolio/Gallery")+COUNTIF('Quick Compare'!H128:H135,"Portfolio/Gallery")),(COUNTIF('Quick Compare'!D128:D135,"About page")+COUNTIF('Quick Compare'!H128:H135,"About page")),(COUNTIF('Quick Compare'!D128:D135,"Other")+COUNTIF('Quick Compare'!H128:H135,"Other"))))+--((COUNTIF('Quick Compare'!D128:D135,"Other")+COUNTIF('Quick Compare'!H128:H135,"Other"))=MAX((COUNTIF('Quick Compare'!D128:D135,"Homepage")+COUNTIF('Quick Compare'!H128:H135,"Homepage")),(COUNTIF('Quick Compare'!D128:D135,"Service page")+COUNTIF('Quick Compare'!H128:H135,"Service page")),(COUNTIF('Quick Compare'!D128:D135,"Location page")+COUNTIF('Quick Compare'!H128:H135,"Location page")),(COUNTIF('Quick Compare'!D128:D135,"Directory")+COUNTIF('Quick Compare'!H128:H135,"Directory")),(COUNTIF('Quick Compare'!D128:D135,"Blog/FAQ")+COUNTIF('Quick Compare'!H128:H135,"Blog/FAQ")),(COUNTIF('Quick Compare'!D128:D135,"Portfolio/Gallery")+COUNTIF('Quick Compare'!H128:H135,"Portfolio/Gallery")),(COUNTIF('Quick Compare'!D128:D135,"About page")+COUNTIF('Quick Compare'!H128:H135,"About page")),(COUNTIF('Quick Compare'!D128:D135,"Other")+COUNTIF('Quick Compare'!H128:H135,"Other")))))&gt;1,"Tie / review",IF((COUNTIF('Quick Compare'!D128:D135,"Homepage")+COUNTIF('Quick Compare'!H128:H135,"Homepage"))=MAX((COUNTIF('Quick Compare'!D128:D135,"Homepage")+COUNTIF('Quick Compare'!H128:H135,"Homepage")),(COUNTIF('Quick Compare'!D128:D135,"Service page")+COUNTIF('Quick Compare'!H128:H135,"Service page")),(COUNTIF('Quick Compare'!D128:D135,"Location page")+COUNTIF('Quick Compare'!H128:H135,"Location page")),(COUNTIF('Quick Compare'!D128:D135,"Directory")+COUNTIF('Quick Compare'!H128:H135,"Directory")),(COUNTIF('Quick Compare'!D128:D135,"Blog/FAQ")+COUNTIF('Quick Compare'!H128:H135,"Blog/FAQ")),(COUNTIF('Quick Compare'!D128:D135,"Portfolio/Gallery")+COUNTIF('Quick Compare'!H128:H135,"Portfolio/Gallery")),(COUNTIF('Quick Compare'!D128:D135,"About page")+COUNTIF('Quick Compare'!H128:H135,"About page")),(COUNTIF('Quick Compare'!D128:D135,"Other")+COUNTIF('Quick Compare'!H128:H135,"Other"))),"Homepage",IF((COUNTIF('Quick Compare'!D128:D135,"Service page")+COUNTIF('Quick Compare'!H128:H135,"Service page"))=MAX((COUNTIF('Quick Compare'!D128:D135,"Homepage")+COUNTIF('Quick Compare'!H128:H135,"Homepage")),(COUNTIF('Quick Compare'!D128:D135,"Service page")+COUNTIF('Quick Compare'!H128:H135,"Service page")),(COUNTIF('Quick Compare'!D128:D135,"Location page")+COUNTIF('Quick Compare'!H128:H135,"Location page")),(COUNTIF('Quick Compare'!D128:D135,"Directory")+COUNTIF('Quick Compare'!H128:H135,"Directory")),(COUNTIF('Quick Compare'!D128:D135,"Blog/FAQ")+COUNTIF('Quick Compare'!H128:H135,"Blog/FAQ")),(COUNTIF('Quick Compare'!D128:D135,"Portfolio/Gallery")+COUNTIF('Quick Compare'!H128:H135,"Portfolio/Gallery")),(COUNTIF('Quick Compare'!D128:D135,"About page")+COUNTIF('Quick Compare'!H128:H135,"About page")),(COUNTIF('Quick Compare'!D128:D135,"Other")+COUNTIF('Quick Compare'!H128:H135,"Other"))),"Service page",IF((COUNTIF('Quick Compare'!D128:D135,"Location page")+COUNTIF('Quick Compare'!H128:H135,"Location page"))=MAX((COUNTIF('Quick Compare'!D128:D135,"Homepage")+COUNTIF('Quick Compare'!H128:H135,"Homepage")),(COUNTIF('Quick Compare'!D128:D135,"Service page")+COUNTIF('Quick Compare'!H128:H135,"Service page")),(COUNTIF('Quick Compare'!D128:D135,"Location page")+COUNTIF('Quick Compare'!H128:H135,"Location page")),(COUNTIF('Quick Compare'!D128:D135,"Directory")+COUNTIF('Quick Compare'!H128:H135,"Directory")),(COUNTIF('Quick Compare'!D128:D135,"Blog/FAQ")+COUNTIF('Quick Compare'!H128:H135,"Blog/FAQ")),(COUNTIF('Quick Compare'!D128:D135,"Portfolio/Gallery")+COUNTIF('Quick Compare'!H128:H135,"Portfolio/Gallery")),(COUNTIF('Quick Compare'!D128:D135,"About page")+COUNTIF('Quick Compare'!H128:H135,"About page")),(COUNTIF('Quick Compare'!D128:D135,"Other")+COUNTIF('Quick Compare'!H128:H135,"Other"))),"Location page",IF((COUNTIF('Quick Compare'!D128:D135,"Directory")+COUNTIF('Quick Compare'!H128:H135,"Directory"))=MAX((COUNTIF('Quick Compare'!D128:D135,"Homepage")+COUNTIF('Quick Compare'!H128:H135,"Homepage")),(COUNTIF('Quick Compare'!D128:D135,"Service page")+COUNTIF('Quick Compare'!H128:H135,"Service page")),(COUNTIF('Quick Compare'!D128:D135,"Location page")+COUNTIF('Quick Compare'!H128:H135,"Location page")),(COUNTIF('Quick Compare'!D128:D135,"Directory")+COUNTIF('Quick Compare'!H128:H135,"Directory")),(COUNTIF('Quick Compare'!D128:D135,"Blog/FAQ")+COUNTIF('Quick Compare'!H128:H135,"Blog/FAQ")),(COUNTIF('Quick Compare'!D128:D135,"Portfolio/Gallery")+COUNTIF('Quick Compare'!H128:H135,"Portfolio/Gallery")),(COUNTIF('Quick Compare'!D128:D135,"About page")+COUNTIF('Quick Compare'!H128:H135,"About page")),(COUNTIF('Quick Compare'!D128:D135,"Other")+COUNTIF('Quick Compare'!H128:H135,"Other"))),"Directory",IF((COUNTIF('Quick Compare'!D128:D135,"Blog/FAQ")+COUNTIF('Quick Compare'!H128:H135,"Blog/FAQ"))=MAX((COUNTIF('Quick Compare'!D128:D135,"Homepage")+COUNTIF('Quick Compare'!H128:H135,"Homepage")),(COUNTIF('Quick Compare'!D128:D135,"Service page")+COUNTIF('Quick Compare'!H128:H135,"Service page")),(COUNTIF('Quick Compare'!D128:D135,"Location page")+COUNTIF('Quick Compare'!H128:H135,"Location page")),(COUNTIF('Quick Compare'!D128:D135,"Directory")+COUNTIF('Quick Compare'!H128:H135,"Directory")),(COUNTIF('Quick Compare'!D128:D135,"Blog/FAQ")+COUNTIF('Quick Compare'!H128:H135,"Blog/FAQ")),(COUNTIF('Quick Compare'!D128:D135,"Portfolio/Gallery")+COUNTIF('Quick Compare'!H128:H135,"Portfolio/Gallery")),(COUNTIF('Quick Compare'!D128:D135,"About page")+COUNTIF('Quick Compare'!H128:H135,"About page")),(COUNTIF('Quick Compare'!D128:D135,"Other")+COUNTIF('Quick Compare'!H128:H135,"Other"))),"Blog/FAQ",IF((COUNTIF('Quick Compare'!D128:D135,"Portfolio/Gallery")+COUNTIF('Quick Compare'!H128:H135,"Portfolio/Gallery"))=MAX((COUNTIF('Quick Compare'!D128:D135,"Homepage")+COUNTIF('Quick Compare'!H128:H135,"Homepage")),(COUNTIF('Quick Compare'!D128:D135,"Service page")+COUNTIF('Quick Compare'!H128:H135,"Service page")),(COUNTIF('Quick Compare'!D128:D135,"Location page")+COUNTIF('Quick Compare'!H128:H135,"Location page")),(COUNTIF('Quick Compare'!D128:D135,"Directory")+COUNTIF('Quick Compare'!H128:H135,"Directory")),(COUNTIF('Quick Compare'!D128:D135,"Blog/FAQ")+COUNTIF('Quick Compare'!H128:H135,"Blog/FAQ")),(COUNTIF('Quick Compare'!D128:D135,"Portfolio/Gallery")+COUNTIF('Quick Compare'!H128:H135,"Portfolio/Gallery")),(COUNTIF('Quick Compare'!D128:D135,"About page")+COUNTIF('Quick Compare'!H128:H135,"About page")),(COUNTIF('Quick Compare'!D128:D135,"Other")+COUNTIF('Quick Compare'!H128:H135,"Other"))),"Portfolio/Gallery",IF((COUNTIF('Quick Compare'!D128:D135,"About page")+COUNTIF('Quick Compare'!H128:H135,"About page"))=MAX((COUNTIF('Quick Compare'!D128:D135,"Homepage")+COUNTIF('Quick Compare'!H128:H135,"Homepage")),(COUNTIF('Quick Compare'!D128:D135,"Service page")+COUNTIF('Quick Compare'!H128:H135,"Service page")),(COUNTIF('Quick Compare'!D128:D135,"Location page")+COUNTIF('Quick Compare'!H128:H135,"Location page")),(COUNTIF('Quick Compare'!D128:D135,"Directory")+COUNTIF('Quick Compare'!H128:H135,"Directory")),(COUNTIF('Quick Compare'!D128:D135,"Blog/FAQ")+COUNTIF('Quick Compare'!H128:H135,"Blog/FAQ")),(COUNTIF('Quick Compare'!D128:D135,"Portfolio/Gallery")+COUNTIF('Quick Compare'!H128:H135,"Portfolio/Gallery")),(COUNTIF('Quick Compare'!D128:D135,"About page")+COUNTIF('Quick Compare'!H128:H135,"About page")),(COUNTIF('Quick Compare'!D128:D135,"Other")+COUNTIF('Quick Compare'!H128:H135,"Other"))),"About page","Other"))))))))))</x:f>
      </x:c>
      <x:c r="K9" s="67"/>
      <x:c r="L9" s="67"/>
    </x:row>
    <x:row r="10">
      <x:c r="A10" s="67" t="str">
        <x:f>IF('Quick Compare'!B146="","",'Quick Compare'!B146)</x:f>
      </x:c>
      <x:c r="B10" s="67" t="str">
        <x:f>IF('Quick Compare'!B147="","",'Quick Compare'!B147)</x:f>
      </x:c>
      <x:c r="C10" s="67" t="str">
        <x:f>IF('Quick Compare'!B148="","",'Quick Compare'!B148)</x:f>
      </x:c>
      <x:c r="D10" s="67" t="str">
        <x:f>IF(B10="","",'Quick Compare'!B163)</x:f>
      </x:c>
      <x:c r="E10" s="67" t="str">
        <x:f>IF(B10="","",MAX(0,'Quick Compare'!B164-'Quick Compare'!B163))</x:f>
      </x:c>
      <x:c r="F10" s="67" t="str">
        <x:f>IF(B10="","",'Quick Compare'!B165)</x:f>
      </x:c>
      <x:c r="G10" s="67" t="str">
        <x:f>IF(B10="","",'Quick Compare'!B166)</x:f>
      </x:c>
      <x:c r="H10" s="67"/>
      <x:c r="I10" s="67"/>
      <x:c r="J10" s="67" t="str">
        <x:f>IF(B10="","",IF(MAX((COUNTIF('Quick Compare'!D152:D159,"Homepage")+COUNTIF('Quick Compare'!H152:H159,"Homepage")),(COUNTIF('Quick Compare'!D152:D159,"Service page")+COUNTIF('Quick Compare'!H152:H159,"Service page")),(COUNTIF('Quick Compare'!D152:D159,"Location page")+COUNTIF('Quick Compare'!H152:H159,"Location page")),(COUNTIF('Quick Compare'!D152:D159,"Directory")+COUNTIF('Quick Compare'!H152:H159,"Directory")),(COUNTIF('Quick Compare'!D152:D159,"Blog/FAQ")+COUNTIF('Quick Compare'!H152:H159,"Blog/FAQ")),(COUNTIF('Quick Compare'!D152:D159,"Portfolio/Gallery")+COUNTIF('Quick Compare'!H152:H159,"Portfolio/Gallery")),(COUNTIF('Quick Compare'!D152:D159,"About page")+COUNTIF('Quick Compare'!H152:H159,"About page")),(COUNTIF('Quick Compare'!D152:D159,"Other")+COUNTIF('Quick Compare'!H152:H159,"Other")))=0,"",IF((--((COUNTIF('Quick Compare'!D152:D159,"Homepage")+COUNTIF('Quick Compare'!H152:H159,"Homepage"))=MAX((COUNTIF('Quick Compare'!D152:D159,"Homepage")+COUNTIF('Quick Compare'!H152:H159,"Homepage")),(COUNTIF('Quick Compare'!D152:D159,"Service page")+COUNTIF('Quick Compare'!H152:H159,"Service page")),(COUNTIF('Quick Compare'!D152:D159,"Location page")+COUNTIF('Quick Compare'!H152:H159,"Location page")),(COUNTIF('Quick Compare'!D152:D159,"Directory")+COUNTIF('Quick Compare'!H152:H159,"Directory")),(COUNTIF('Quick Compare'!D152:D159,"Blog/FAQ")+COUNTIF('Quick Compare'!H152:H159,"Blog/FAQ")),(COUNTIF('Quick Compare'!D152:D159,"Portfolio/Gallery")+COUNTIF('Quick Compare'!H152:H159,"Portfolio/Gallery")),(COUNTIF('Quick Compare'!D152:D159,"About page")+COUNTIF('Quick Compare'!H152:H159,"About page")),(COUNTIF('Quick Compare'!D152:D159,"Other")+COUNTIF('Quick Compare'!H152:H159,"Other"))))+--((COUNTIF('Quick Compare'!D152:D159,"Service page")+COUNTIF('Quick Compare'!H152:H159,"Service page"))=MAX((COUNTIF('Quick Compare'!D152:D159,"Homepage")+COUNTIF('Quick Compare'!H152:H159,"Homepage")),(COUNTIF('Quick Compare'!D152:D159,"Service page")+COUNTIF('Quick Compare'!H152:H159,"Service page")),(COUNTIF('Quick Compare'!D152:D159,"Location page")+COUNTIF('Quick Compare'!H152:H159,"Location page")),(COUNTIF('Quick Compare'!D152:D159,"Directory")+COUNTIF('Quick Compare'!H152:H159,"Directory")),(COUNTIF('Quick Compare'!D152:D159,"Blog/FAQ")+COUNTIF('Quick Compare'!H152:H159,"Blog/FAQ")),(COUNTIF('Quick Compare'!D152:D159,"Portfolio/Gallery")+COUNTIF('Quick Compare'!H152:H159,"Portfolio/Gallery")),(COUNTIF('Quick Compare'!D152:D159,"About page")+COUNTIF('Quick Compare'!H152:H159,"About page")),(COUNTIF('Quick Compare'!D152:D159,"Other")+COUNTIF('Quick Compare'!H152:H159,"Other"))))+--((COUNTIF('Quick Compare'!D152:D159,"Location page")+COUNTIF('Quick Compare'!H152:H159,"Location page"))=MAX((COUNTIF('Quick Compare'!D152:D159,"Homepage")+COUNTIF('Quick Compare'!H152:H159,"Homepage")),(COUNTIF('Quick Compare'!D152:D159,"Service page")+COUNTIF('Quick Compare'!H152:H159,"Service page")),(COUNTIF('Quick Compare'!D152:D159,"Location page")+COUNTIF('Quick Compare'!H152:H159,"Location page")),(COUNTIF('Quick Compare'!D152:D159,"Directory")+COUNTIF('Quick Compare'!H152:H159,"Directory")),(COUNTIF('Quick Compare'!D152:D159,"Blog/FAQ")+COUNTIF('Quick Compare'!H152:H159,"Blog/FAQ")),(COUNTIF('Quick Compare'!D152:D159,"Portfolio/Gallery")+COUNTIF('Quick Compare'!H152:H159,"Portfolio/Gallery")),(COUNTIF('Quick Compare'!D152:D159,"About page")+COUNTIF('Quick Compare'!H152:H159,"About page")),(COUNTIF('Quick Compare'!D152:D159,"Other")+COUNTIF('Quick Compare'!H152:H159,"Other"))))+--((COUNTIF('Quick Compare'!D152:D159,"Directory")+COUNTIF('Quick Compare'!H152:H159,"Directory"))=MAX((COUNTIF('Quick Compare'!D152:D159,"Homepage")+COUNTIF('Quick Compare'!H152:H159,"Homepage")),(COUNTIF('Quick Compare'!D152:D159,"Service page")+COUNTIF('Quick Compare'!H152:H159,"Service page")),(COUNTIF('Quick Compare'!D152:D159,"Location page")+COUNTIF('Quick Compare'!H152:H159,"Location page")),(COUNTIF('Quick Compare'!D152:D159,"Directory")+COUNTIF('Quick Compare'!H152:H159,"Directory")),(COUNTIF('Quick Compare'!D152:D159,"Blog/FAQ")+COUNTIF('Quick Compare'!H152:H159,"Blog/FAQ")),(COUNTIF('Quick Compare'!D152:D159,"Portfolio/Gallery")+COUNTIF('Quick Compare'!H152:H159,"Portfolio/Gallery")),(COUNTIF('Quick Compare'!D152:D159,"About page")+COUNTIF('Quick Compare'!H152:H159,"About page")),(COUNTIF('Quick Compare'!D152:D159,"Other")+COUNTIF('Quick Compare'!H152:H159,"Other"))))+--((COUNTIF('Quick Compare'!D152:D159,"Blog/FAQ")+COUNTIF('Quick Compare'!H152:H159,"Blog/FAQ"))=MAX((COUNTIF('Quick Compare'!D152:D159,"Homepage")+COUNTIF('Quick Compare'!H152:H159,"Homepage")),(COUNTIF('Quick Compare'!D152:D159,"Service page")+COUNTIF('Quick Compare'!H152:H159,"Service page")),(COUNTIF('Quick Compare'!D152:D159,"Location page")+COUNTIF('Quick Compare'!H152:H159,"Location page")),(COUNTIF('Quick Compare'!D152:D159,"Directory")+COUNTIF('Quick Compare'!H152:H159,"Directory")),(COUNTIF('Quick Compare'!D152:D159,"Blog/FAQ")+COUNTIF('Quick Compare'!H152:H159,"Blog/FAQ")),(COUNTIF('Quick Compare'!D152:D159,"Portfolio/Gallery")+COUNTIF('Quick Compare'!H152:H159,"Portfolio/Gallery")),(COUNTIF('Quick Compare'!D152:D159,"About page")+COUNTIF('Quick Compare'!H152:H159,"About page")),(COUNTIF('Quick Compare'!D152:D159,"Other")+COUNTIF('Quick Compare'!H152:H159,"Other"))))+--((COUNTIF('Quick Compare'!D152:D159,"Portfolio/Gallery")+COUNTIF('Quick Compare'!H152:H159,"Portfolio/Gallery"))=MAX((COUNTIF('Quick Compare'!D152:D159,"Homepage")+COUNTIF('Quick Compare'!H152:H159,"Homepage")),(COUNTIF('Quick Compare'!D152:D159,"Service page")+COUNTIF('Quick Compare'!H152:H159,"Service page")),(COUNTIF('Quick Compare'!D152:D159,"Location page")+COUNTIF('Quick Compare'!H152:H159,"Location page")),(COUNTIF('Quick Compare'!D152:D159,"Directory")+COUNTIF('Quick Compare'!H152:H159,"Directory")),(COUNTIF('Quick Compare'!D152:D159,"Blog/FAQ")+COUNTIF('Quick Compare'!H152:H159,"Blog/FAQ")),(COUNTIF('Quick Compare'!D152:D159,"Portfolio/Gallery")+COUNTIF('Quick Compare'!H152:H159,"Portfolio/Gallery")),(COUNTIF('Quick Compare'!D152:D159,"About page")+COUNTIF('Quick Compare'!H152:H159,"About page")),(COUNTIF('Quick Compare'!D152:D159,"Other")+COUNTIF('Quick Compare'!H152:H159,"Other"))))+--((COUNTIF('Quick Compare'!D152:D159,"About page")+COUNTIF('Quick Compare'!H152:H159,"About page"))=MAX((COUNTIF('Quick Compare'!D152:D159,"Homepage")+COUNTIF('Quick Compare'!H152:H159,"Homepage")),(COUNTIF('Quick Compare'!D152:D159,"Service page")+COUNTIF('Quick Compare'!H152:H159,"Service page")),(COUNTIF('Quick Compare'!D152:D159,"Location page")+COUNTIF('Quick Compare'!H152:H159,"Location page")),(COUNTIF('Quick Compare'!D152:D159,"Directory")+COUNTIF('Quick Compare'!H152:H159,"Directory")),(COUNTIF('Quick Compare'!D152:D159,"Blog/FAQ")+COUNTIF('Quick Compare'!H152:H159,"Blog/FAQ")),(COUNTIF('Quick Compare'!D152:D159,"Portfolio/Gallery")+COUNTIF('Quick Compare'!H152:H159,"Portfolio/Gallery")),(COUNTIF('Quick Compare'!D152:D159,"About page")+COUNTIF('Quick Compare'!H152:H159,"About page")),(COUNTIF('Quick Compare'!D152:D159,"Other")+COUNTIF('Quick Compare'!H152:H159,"Other"))))+--((COUNTIF('Quick Compare'!D152:D159,"Other")+COUNTIF('Quick Compare'!H152:H159,"Other"))=MAX((COUNTIF('Quick Compare'!D152:D159,"Homepage")+COUNTIF('Quick Compare'!H152:H159,"Homepage")),(COUNTIF('Quick Compare'!D152:D159,"Service page")+COUNTIF('Quick Compare'!H152:H159,"Service page")),(COUNTIF('Quick Compare'!D152:D159,"Location page")+COUNTIF('Quick Compare'!H152:H159,"Location page")),(COUNTIF('Quick Compare'!D152:D159,"Directory")+COUNTIF('Quick Compare'!H152:H159,"Directory")),(COUNTIF('Quick Compare'!D152:D159,"Blog/FAQ")+COUNTIF('Quick Compare'!H152:H159,"Blog/FAQ")),(COUNTIF('Quick Compare'!D152:D159,"Portfolio/Gallery")+COUNTIF('Quick Compare'!H152:H159,"Portfolio/Gallery")),(COUNTIF('Quick Compare'!D152:D159,"About page")+COUNTIF('Quick Compare'!H152:H159,"About page")),(COUNTIF('Quick Compare'!D152:D159,"Other")+COUNTIF('Quick Compare'!H152:H159,"Other")))))&gt;1,"Tie / review",IF((COUNTIF('Quick Compare'!D152:D159,"Homepage")+COUNTIF('Quick Compare'!H152:H159,"Homepage"))=MAX((COUNTIF('Quick Compare'!D152:D159,"Homepage")+COUNTIF('Quick Compare'!H152:H159,"Homepage")),(COUNTIF('Quick Compare'!D152:D159,"Service page")+COUNTIF('Quick Compare'!H152:H159,"Service page")),(COUNTIF('Quick Compare'!D152:D159,"Location page")+COUNTIF('Quick Compare'!H152:H159,"Location page")),(COUNTIF('Quick Compare'!D152:D159,"Directory")+COUNTIF('Quick Compare'!H152:H159,"Directory")),(COUNTIF('Quick Compare'!D152:D159,"Blog/FAQ")+COUNTIF('Quick Compare'!H152:H159,"Blog/FAQ")),(COUNTIF('Quick Compare'!D152:D159,"Portfolio/Gallery")+COUNTIF('Quick Compare'!H152:H159,"Portfolio/Gallery")),(COUNTIF('Quick Compare'!D152:D159,"About page")+COUNTIF('Quick Compare'!H152:H159,"About page")),(COUNTIF('Quick Compare'!D152:D159,"Other")+COUNTIF('Quick Compare'!H152:H159,"Other"))),"Homepage",IF((COUNTIF('Quick Compare'!D152:D159,"Service page")+COUNTIF('Quick Compare'!H152:H159,"Service page"))=MAX((COUNTIF('Quick Compare'!D152:D159,"Homepage")+COUNTIF('Quick Compare'!H152:H159,"Homepage")),(COUNTIF('Quick Compare'!D152:D159,"Service page")+COUNTIF('Quick Compare'!H152:H159,"Service page")),(COUNTIF('Quick Compare'!D152:D159,"Location page")+COUNTIF('Quick Compare'!H152:H159,"Location page")),(COUNTIF('Quick Compare'!D152:D159,"Directory")+COUNTIF('Quick Compare'!H152:H159,"Directory")),(COUNTIF('Quick Compare'!D152:D159,"Blog/FAQ")+COUNTIF('Quick Compare'!H152:H159,"Blog/FAQ")),(COUNTIF('Quick Compare'!D152:D159,"Portfolio/Gallery")+COUNTIF('Quick Compare'!H152:H159,"Portfolio/Gallery")),(COUNTIF('Quick Compare'!D152:D159,"About page")+COUNTIF('Quick Compare'!H152:H159,"About page")),(COUNTIF('Quick Compare'!D152:D159,"Other")+COUNTIF('Quick Compare'!H152:H159,"Other"))),"Service page",IF((COUNTIF('Quick Compare'!D152:D159,"Location page")+COUNTIF('Quick Compare'!H152:H159,"Location page"))=MAX((COUNTIF('Quick Compare'!D152:D159,"Homepage")+COUNTIF('Quick Compare'!H152:H159,"Homepage")),(COUNTIF('Quick Compare'!D152:D159,"Service page")+COUNTIF('Quick Compare'!H152:H159,"Service page")),(COUNTIF('Quick Compare'!D152:D159,"Location page")+COUNTIF('Quick Compare'!H152:H159,"Location page")),(COUNTIF('Quick Compare'!D152:D159,"Directory")+COUNTIF('Quick Compare'!H152:H159,"Directory")),(COUNTIF('Quick Compare'!D152:D159,"Blog/FAQ")+COUNTIF('Quick Compare'!H152:H159,"Blog/FAQ")),(COUNTIF('Quick Compare'!D152:D159,"Portfolio/Gallery")+COUNTIF('Quick Compare'!H152:H159,"Portfolio/Gallery")),(COUNTIF('Quick Compare'!D152:D159,"About page")+COUNTIF('Quick Compare'!H152:H159,"About page")),(COUNTIF('Quick Compare'!D152:D159,"Other")+COUNTIF('Quick Compare'!H152:H159,"Other"))),"Location page",IF((COUNTIF('Quick Compare'!D152:D159,"Directory")+COUNTIF('Quick Compare'!H152:H159,"Directory"))=MAX((COUNTIF('Quick Compare'!D152:D159,"Homepage")+COUNTIF('Quick Compare'!H152:H159,"Homepage")),(COUNTIF('Quick Compare'!D152:D159,"Service page")+COUNTIF('Quick Compare'!H152:H159,"Service page")),(COUNTIF('Quick Compare'!D152:D159,"Location page")+COUNTIF('Quick Compare'!H152:H159,"Location page")),(COUNTIF('Quick Compare'!D152:D159,"Directory")+COUNTIF('Quick Compare'!H152:H159,"Directory")),(COUNTIF('Quick Compare'!D152:D159,"Blog/FAQ")+COUNTIF('Quick Compare'!H152:H159,"Blog/FAQ")),(COUNTIF('Quick Compare'!D152:D159,"Portfolio/Gallery")+COUNTIF('Quick Compare'!H152:H159,"Portfolio/Gallery")),(COUNTIF('Quick Compare'!D152:D159,"About page")+COUNTIF('Quick Compare'!H152:H159,"About page")),(COUNTIF('Quick Compare'!D152:D159,"Other")+COUNTIF('Quick Compare'!H152:H159,"Other"))),"Directory",IF((COUNTIF('Quick Compare'!D152:D159,"Blog/FAQ")+COUNTIF('Quick Compare'!H152:H159,"Blog/FAQ"))=MAX((COUNTIF('Quick Compare'!D152:D159,"Homepage")+COUNTIF('Quick Compare'!H152:H159,"Homepage")),(COUNTIF('Quick Compare'!D152:D159,"Service page")+COUNTIF('Quick Compare'!H152:H159,"Service page")),(COUNTIF('Quick Compare'!D152:D159,"Location page")+COUNTIF('Quick Compare'!H152:H159,"Location page")),(COUNTIF('Quick Compare'!D152:D159,"Directory")+COUNTIF('Quick Compare'!H152:H159,"Directory")),(COUNTIF('Quick Compare'!D152:D159,"Blog/FAQ")+COUNTIF('Quick Compare'!H152:H159,"Blog/FAQ")),(COUNTIF('Quick Compare'!D152:D159,"Portfolio/Gallery")+COUNTIF('Quick Compare'!H152:H159,"Portfolio/Gallery")),(COUNTIF('Quick Compare'!D152:D159,"About page")+COUNTIF('Quick Compare'!H152:H159,"About page")),(COUNTIF('Quick Compare'!D152:D159,"Other")+COUNTIF('Quick Compare'!H152:H159,"Other"))),"Blog/FAQ",IF((COUNTIF('Quick Compare'!D152:D159,"Portfolio/Gallery")+COUNTIF('Quick Compare'!H152:H159,"Portfolio/Gallery"))=MAX((COUNTIF('Quick Compare'!D152:D159,"Homepage")+COUNTIF('Quick Compare'!H152:H159,"Homepage")),(COUNTIF('Quick Compare'!D152:D159,"Service page")+COUNTIF('Quick Compare'!H152:H159,"Service page")),(COUNTIF('Quick Compare'!D152:D159,"Location page")+COUNTIF('Quick Compare'!H152:H159,"Location page")),(COUNTIF('Quick Compare'!D152:D159,"Directory")+COUNTIF('Quick Compare'!H152:H159,"Directory")),(COUNTIF('Quick Compare'!D152:D159,"Blog/FAQ")+COUNTIF('Quick Compare'!H152:H159,"Blog/FAQ")),(COUNTIF('Quick Compare'!D152:D159,"Portfolio/Gallery")+COUNTIF('Quick Compare'!H152:H159,"Portfolio/Gallery")),(COUNTIF('Quick Compare'!D152:D159,"About page")+COUNTIF('Quick Compare'!H152:H159,"About page")),(COUNTIF('Quick Compare'!D152:D159,"Other")+COUNTIF('Quick Compare'!H152:H159,"Other"))),"Portfolio/Gallery",IF((COUNTIF('Quick Compare'!D152:D159,"About page")+COUNTIF('Quick Compare'!H152:H159,"About page"))=MAX((COUNTIF('Quick Compare'!D152:D159,"Homepage")+COUNTIF('Quick Compare'!H152:H159,"Homepage")),(COUNTIF('Quick Compare'!D152:D159,"Service page")+COUNTIF('Quick Compare'!H152:H159,"Service page")),(COUNTIF('Quick Compare'!D152:D159,"Location page")+COUNTIF('Quick Compare'!H152:H159,"Location page")),(COUNTIF('Quick Compare'!D152:D159,"Directory")+COUNTIF('Quick Compare'!H152:H159,"Directory")),(COUNTIF('Quick Compare'!D152:D159,"Blog/FAQ")+COUNTIF('Quick Compare'!H152:H159,"Blog/FAQ")),(COUNTIF('Quick Compare'!D152:D159,"Portfolio/Gallery")+COUNTIF('Quick Compare'!H152:H159,"Portfolio/Gallery")),(COUNTIF('Quick Compare'!D152:D159,"About page")+COUNTIF('Quick Compare'!H152:H159,"About page")),(COUNTIF('Quick Compare'!D152:D159,"Other")+COUNTIF('Quick Compare'!H152:H159,"Other"))),"About page","Other"))))))))))</x:f>
      </x:c>
      <x:c r="K10" s="67"/>
      <x:c r="L10" s="67"/>
    </x:row>
    <x:row r="11">
      <x:c r="A11" s="67" t="str">
        <x:f>IF('Quick Compare'!B170="","",'Quick Compare'!B170)</x:f>
      </x:c>
      <x:c r="B11" s="67" t="str">
        <x:f>IF('Quick Compare'!B171="","",'Quick Compare'!B171)</x:f>
      </x:c>
      <x:c r="C11" s="67" t="str">
        <x:f>IF('Quick Compare'!B172="","",'Quick Compare'!B172)</x:f>
      </x:c>
      <x:c r="D11" s="67" t="str">
        <x:f>IF(B11="","",'Quick Compare'!B187)</x:f>
      </x:c>
      <x:c r="E11" s="67" t="str">
        <x:f>IF(B11="","",MAX(0,'Quick Compare'!B188-'Quick Compare'!B187))</x:f>
      </x:c>
      <x:c r="F11" s="67" t="str">
        <x:f>IF(B11="","",'Quick Compare'!B189)</x:f>
      </x:c>
      <x:c r="G11" s="67" t="str">
        <x:f>IF(B11="","",'Quick Compare'!B190)</x:f>
      </x:c>
      <x:c r="H11" s="67"/>
      <x:c r="I11" s="67"/>
      <x:c r="J11" s="67" t="str">
        <x:f>IF(B11="","",IF(MAX((COUNTIF('Quick Compare'!D176:D183,"Homepage")+COUNTIF('Quick Compare'!H176:H183,"Homepage")),(COUNTIF('Quick Compare'!D176:D183,"Service page")+COUNTIF('Quick Compare'!H176:H183,"Service page")),(COUNTIF('Quick Compare'!D176:D183,"Location page")+COUNTIF('Quick Compare'!H176:H183,"Location page")),(COUNTIF('Quick Compare'!D176:D183,"Directory")+COUNTIF('Quick Compare'!H176:H183,"Directory")),(COUNTIF('Quick Compare'!D176:D183,"Blog/FAQ")+COUNTIF('Quick Compare'!H176:H183,"Blog/FAQ")),(COUNTIF('Quick Compare'!D176:D183,"Portfolio/Gallery")+COUNTIF('Quick Compare'!H176:H183,"Portfolio/Gallery")),(COUNTIF('Quick Compare'!D176:D183,"About page")+COUNTIF('Quick Compare'!H176:H183,"About page")),(COUNTIF('Quick Compare'!D176:D183,"Other")+COUNTIF('Quick Compare'!H176:H183,"Other")))=0,"",IF((--((COUNTIF('Quick Compare'!D176:D183,"Homepage")+COUNTIF('Quick Compare'!H176:H183,"Homepage"))=MAX((COUNTIF('Quick Compare'!D176:D183,"Homepage")+COUNTIF('Quick Compare'!H176:H183,"Homepage")),(COUNTIF('Quick Compare'!D176:D183,"Service page")+COUNTIF('Quick Compare'!H176:H183,"Service page")),(COUNTIF('Quick Compare'!D176:D183,"Location page")+COUNTIF('Quick Compare'!H176:H183,"Location page")),(COUNTIF('Quick Compare'!D176:D183,"Directory")+COUNTIF('Quick Compare'!H176:H183,"Directory")),(COUNTIF('Quick Compare'!D176:D183,"Blog/FAQ")+COUNTIF('Quick Compare'!H176:H183,"Blog/FAQ")),(COUNTIF('Quick Compare'!D176:D183,"Portfolio/Gallery")+COUNTIF('Quick Compare'!H176:H183,"Portfolio/Gallery")),(COUNTIF('Quick Compare'!D176:D183,"About page")+COUNTIF('Quick Compare'!H176:H183,"About page")),(COUNTIF('Quick Compare'!D176:D183,"Other")+COUNTIF('Quick Compare'!H176:H183,"Other"))))+--((COUNTIF('Quick Compare'!D176:D183,"Service page")+COUNTIF('Quick Compare'!H176:H183,"Service page"))=MAX((COUNTIF('Quick Compare'!D176:D183,"Homepage")+COUNTIF('Quick Compare'!H176:H183,"Homepage")),(COUNTIF('Quick Compare'!D176:D183,"Service page")+COUNTIF('Quick Compare'!H176:H183,"Service page")),(COUNTIF('Quick Compare'!D176:D183,"Location page")+COUNTIF('Quick Compare'!H176:H183,"Location page")),(COUNTIF('Quick Compare'!D176:D183,"Directory")+COUNTIF('Quick Compare'!H176:H183,"Directory")),(COUNTIF('Quick Compare'!D176:D183,"Blog/FAQ")+COUNTIF('Quick Compare'!H176:H183,"Blog/FAQ")),(COUNTIF('Quick Compare'!D176:D183,"Portfolio/Gallery")+COUNTIF('Quick Compare'!H176:H183,"Portfolio/Gallery")),(COUNTIF('Quick Compare'!D176:D183,"About page")+COUNTIF('Quick Compare'!H176:H183,"About page")),(COUNTIF('Quick Compare'!D176:D183,"Other")+COUNTIF('Quick Compare'!H176:H183,"Other"))))+--((COUNTIF('Quick Compare'!D176:D183,"Location page")+COUNTIF('Quick Compare'!H176:H183,"Location page"))=MAX((COUNTIF('Quick Compare'!D176:D183,"Homepage")+COUNTIF('Quick Compare'!H176:H183,"Homepage")),(COUNTIF('Quick Compare'!D176:D183,"Service page")+COUNTIF('Quick Compare'!H176:H183,"Service page")),(COUNTIF('Quick Compare'!D176:D183,"Location page")+COUNTIF('Quick Compare'!H176:H183,"Location page")),(COUNTIF('Quick Compare'!D176:D183,"Directory")+COUNTIF('Quick Compare'!H176:H183,"Directory")),(COUNTIF('Quick Compare'!D176:D183,"Blog/FAQ")+COUNTIF('Quick Compare'!H176:H183,"Blog/FAQ")),(COUNTIF('Quick Compare'!D176:D183,"Portfolio/Gallery")+COUNTIF('Quick Compare'!H176:H183,"Portfolio/Gallery")),(COUNTIF('Quick Compare'!D176:D183,"About page")+COUNTIF('Quick Compare'!H176:H183,"About page")),(COUNTIF('Quick Compare'!D176:D183,"Other")+COUNTIF('Quick Compare'!H176:H183,"Other"))))+--((COUNTIF('Quick Compare'!D176:D183,"Directory")+COUNTIF('Quick Compare'!H176:H183,"Directory"))=MAX((COUNTIF('Quick Compare'!D176:D183,"Homepage")+COUNTIF('Quick Compare'!H176:H183,"Homepage")),(COUNTIF('Quick Compare'!D176:D183,"Service page")+COUNTIF('Quick Compare'!H176:H183,"Service page")),(COUNTIF('Quick Compare'!D176:D183,"Location page")+COUNTIF('Quick Compare'!H176:H183,"Location page")),(COUNTIF('Quick Compare'!D176:D183,"Directory")+COUNTIF('Quick Compare'!H176:H183,"Directory")),(COUNTIF('Quick Compare'!D176:D183,"Blog/FAQ")+COUNTIF('Quick Compare'!H176:H183,"Blog/FAQ")),(COUNTIF('Quick Compare'!D176:D183,"Portfolio/Gallery")+COUNTIF('Quick Compare'!H176:H183,"Portfolio/Gallery")),(COUNTIF('Quick Compare'!D176:D183,"About page")+COUNTIF('Quick Compare'!H176:H183,"About page")),(COUNTIF('Quick Compare'!D176:D183,"Other")+COUNTIF('Quick Compare'!H176:H183,"Other"))))+--((COUNTIF('Quick Compare'!D176:D183,"Blog/FAQ")+COUNTIF('Quick Compare'!H176:H183,"Blog/FAQ"))=MAX((COUNTIF('Quick Compare'!D176:D183,"Homepage")+COUNTIF('Quick Compare'!H176:H183,"Homepage")),(COUNTIF('Quick Compare'!D176:D183,"Service page")+COUNTIF('Quick Compare'!H176:H183,"Service page")),(COUNTIF('Quick Compare'!D176:D183,"Location page")+COUNTIF('Quick Compare'!H176:H183,"Location page")),(COUNTIF('Quick Compare'!D176:D183,"Directory")+COUNTIF('Quick Compare'!H176:H183,"Directory")),(COUNTIF('Quick Compare'!D176:D183,"Blog/FAQ")+COUNTIF('Quick Compare'!H176:H183,"Blog/FAQ")),(COUNTIF('Quick Compare'!D176:D183,"Portfolio/Gallery")+COUNTIF('Quick Compare'!H176:H183,"Portfolio/Gallery")),(COUNTIF('Quick Compare'!D176:D183,"About page")+COUNTIF('Quick Compare'!H176:H183,"About page")),(COUNTIF('Quick Compare'!D176:D183,"Other")+COUNTIF('Quick Compare'!H176:H183,"Other"))))+--((COUNTIF('Quick Compare'!D176:D183,"Portfolio/Gallery")+COUNTIF('Quick Compare'!H176:H183,"Portfolio/Gallery"))=MAX((COUNTIF('Quick Compare'!D176:D183,"Homepage")+COUNTIF('Quick Compare'!H176:H183,"Homepage")),(COUNTIF('Quick Compare'!D176:D183,"Service page")+COUNTIF('Quick Compare'!H176:H183,"Service page")),(COUNTIF('Quick Compare'!D176:D183,"Location page")+COUNTIF('Quick Compare'!H176:H183,"Location page")),(COUNTIF('Quick Compare'!D176:D183,"Directory")+COUNTIF('Quick Compare'!H176:H183,"Directory")),(COUNTIF('Quick Compare'!D176:D183,"Blog/FAQ")+COUNTIF('Quick Compare'!H176:H183,"Blog/FAQ")),(COUNTIF('Quick Compare'!D176:D183,"Portfolio/Gallery")+COUNTIF('Quick Compare'!H176:H183,"Portfolio/Gallery")),(COUNTIF('Quick Compare'!D176:D183,"About page")+COUNTIF('Quick Compare'!H176:H183,"About page")),(COUNTIF('Quick Compare'!D176:D183,"Other")+COUNTIF('Quick Compare'!H176:H183,"Other"))))+--((COUNTIF('Quick Compare'!D176:D183,"About page")+COUNTIF('Quick Compare'!H176:H183,"About page"))=MAX((COUNTIF('Quick Compare'!D176:D183,"Homepage")+COUNTIF('Quick Compare'!H176:H183,"Homepage")),(COUNTIF('Quick Compare'!D176:D183,"Service page")+COUNTIF('Quick Compare'!H176:H183,"Service page")),(COUNTIF('Quick Compare'!D176:D183,"Location page")+COUNTIF('Quick Compare'!H176:H183,"Location page")),(COUNTIF('Quick Compare'!D176:D183,"Directory")+COUNTIF('Quick Compare'!H176:H183,"Directory")),(COUNTIF('Quick Compare'!D176:D183,"Blog/FAQ")+COUNTIF('Quick Compare'!H176:H183,"Blog/FAQ")),(COUNTIF('Quick Compare'!D176:D183,"Portfolio/Gallery")+COUNTIF('Quick Compare'!H176:H183,"Portfolio/Gallery")),(COUNTIF('Quick Compare'!D176:D183,"About page")+COUNTIF('Quick Compare'!H176:H183,"About page")),(COUNTIF('Quick Compare'!D176:D183,"Other")+COUNTIF('Quick Compare'!H176:H183,"Other"))))+--((COUNTIF('Quick Compare'!D176:D183,"Other")+COUNTIF('Quick Compare'!H176:H183,"Other"))=MAX((COUNTIF('Quick Compare'!D176:D183,"Homepage")+COUNTIF('Quick Compare'!H176:H183,"Homepage")),(COUNTIF('Quick Compare'!D176:D183,"Service page")+COUNTIF('Quick Compare'!H176:H183,"Service page")),(COUNTIF('Quick Compare'!D176:D183,"Location page")+COUNTIF('Quick Compare'!H176:H183,"Location page")),(COUNTIF('Quick Compare'!D176:D183,"Directory")+COUNTIF('Quick Compare'!H176:H183,"Directory")),(COUNTIF('Quick Compare'!D176:D183,"Blog/FAQ")+COUNTIF('Quick Compare'!H176:H183,"Blog/FAQ")),(COUNTIF('Quick Compare'!D176:D183,"Portfolio/Gallery")+COUNTIF('Quick Compare'!H176:H183,"Portfolio/Gallery")),(COUNTIF('Quick Compare'!D176:D183,"About page")+COUNTIF('Quick Compare'!H176:H183,"About page")),(COUNTIF('Quick Compare'!D176:D183,"Other")+COUNTIF('Quick Compare'!H176:H183,"Other")))))&gt;1,"Tie / review",IF((COUNTIF('Quick Compare'!D176:D183,"Homepage")+COUNTIF('Quick Compare'!H176:H183,"Homepage"))=MAX((COUNTIF('Quick Compare'!D176:D183,"Homepage")+COUNTIF('Quick Compare'!H176:H183,"Homepage")),(COUNTIF('Quick Compare'!D176:D183,"Service page")+COUNTIF('Quick Compare'!H176:H183,"Service page")),(COUNTIF('Quick Compare'!D176:D183,"Location page")+COUNTIF('Quick Compare'!H176:H183,"Location page")),(COUNTIF('Quick Compare'!D176:D183,"Directory")+COUNTIF('Quick Compare'!H176:H183,"Directory")),(COUNTIF('Quick Compare'!D176:D183,"Blog/FAQ")+COUNTIF('Quick Compare'!H176:H183,"Blog/FAQ")),(COUNTIF('Quick Compare'!D176:D183,"Portfolio/Gallery")+COUNTIF('Quick Compare'!H176:H183,"Portfolio/Gallery")),(COUNTIF('Quick Compare'!D176:D183,"About page")+COUNTIF('Quick Compare'!H176:H183,"About page")),(COUNTIF('Quick Compare'!D176:D183,"Other")+COUNTIF('Quick Compare'!H176:H183,"Other"))),"Homepage",IF((COUNTIF('Quick Compare'!D176:D183,"Service page")+COUNTIF('Quick Compare'!H176:H183,"Service page"))=MAX((COUNTIF('Quick Compare'!D176:D183,"Homepage")+COUNTIF('Quick Compare'!H176:H183,"Homepage")),(COUNTIF('Quick Compare'!D176:D183,"Service page")+COUNTIF('Quick Compare'!H176:H183,"Service page")),(COUNTIF('Quick Compare'!D176:D183,"Location page")+COUNTIF('Quick Compare'!H176:H183,"Location page")),(COUNTIF('Quick Compare'!D176:D183,"Directory")+COUNTIF('Quick Compare'!H176:H183,"Directory")),(COUNTIF('Quick Compare'!D176:D183,"Blog/FAQ")+COUNTIF('Quick Compare'!H176:H183,"Blog/FAQ")),(COUNTIF('Quick Compare'!D176:D183,"Portfolio/Gallery")+COUNTIF('Quick Compare'!H176:H183,"Portfolio/Gallery")),(COUNTIF('Quick Compare'!D176:D183,"About page")+COUNTIF('Quick Compare'!H176:H183,"About page")),(COUNTIF('Quick Compare'!D176:D183,"Other")+COUNTIF('Quick Compare'!H176:H183,"Other"))),"Service page",IF((COUNTIF('Quick Compare'!D176:D183,"Location page")+COUNTIF('Quick Compare'!H176:H183,"Location page"))=MAX((COUNTIF('Quick Compare'!D176:D183,"Homepage")+COUNTIF('Quick Compare'!H176:H183,"Homepage")),(COUNTIF('Quick Compare'!D176:D183,"Service page")+COUNTIF('Quick Compare'!H176:H183,"Service page")),(COUNTIF('Quick Compare'!D176:D183,"Location page")+COUNTIF('Quick Compare'!H176:H183,"Location page")),(COUNTIF('Quick Compare'!D176:D183,"Directory")+COUNTIF('Quick Compare'!H176:H183,"Directory")),(COUNTIF('Quick Compare'!D176:D183,"Blog/FAQ")+COUNTIF('Quick Compare'!H176:H183,"Blog/FAQ")),(COUNTIF('Quick Compare'!D176:D183,"Portfolio/Gallery")+COUNTIF('Quick Compare'!H176:H183,"Portfolio/Gallery")),(COUNTIF('Quick Compare'!D176:D183,"About page")+COUNTIF('Quick Compare'!H176:H183,"About page")),(COUNTIF('Quick Compare'!D176:D183,"Other")+COUNTIF('Quick Compare'!H176:H183,"Other"))),"Location page",IF((COUNTIF('Quick Compare'!D176:D183,"Directory")+COUNTIF('Quick Compare'!H176:H183,"Directory"))=MAX((COUNTIF('Quick Compare'!D176:D183,"Homepage")+COUNTIF('Quick Compare'!H176:H183,"Homepage")),(COUNTIF('Quick Compare'!D176:D183,"Service page")+COUNTIF('Quick Compare'!H176:H183,"Service page")),(COUNTIF('Quick Compare'!D176:D183,"Location page")+COUNTIF('Quick Compare'!H176:H183,"Location page")),(COUNTIF('Quick Compare'!D176:D183,"Directory")+COUNTIF('Quick Compare'!H176:H183,"Directory")),(COUNTIF('Quick Compare'!D176:D183,"Blog/FAQ")+COUNTIF('Quick Compare'!H176:H183,"Blog/FAQ")),(COUNTIF('Quick Compare'!D176:D183,"Portfolio/Gallery")+COUNTIF('Quick Compare'!H176:H183,"Portfolio/Gallery")),(COUNTIF('Quick Compare'!D176:D183,"About page")+COUNTIF('Quick Compare'!H176:H183,"About page")),(COUNTIF('Quick Compare'!D176:D183,"Other")+COUNTIF('Quick Compare'!H176:H183,"Other"))),"Directory",IF((COUNTIF('Quick Compare'!D176:D183,"Blog/FAQ")+COUNTIF('Quick Compare'!H176:H183,"Blog/FAQ"))=MAX((COUNTIF('Quick Compare'!D176:D183,"Homepage")+COUNTIF('Quick Compare'!H176:H183,"Homepage")),(COUNTIF('Quick Compare'!D176:D183,"Service page")+COUNTIF('Quick Compare'!H176:H183,"Service page")),(COUNTIF('Quick Compare'!D176:D183,"Location page")+COUNTIF('Quick Compare'!H176:H183,"Location page")),(COUNTIF('Quick Compare'!D176:D183,"Directory")+COUNTIF('Quick Compare'!H176:H183,"Directory")),(COUNTIF('Quick Compare'!D176:D183,"Blog/FAQ")+COUNTIF('Quick Compare'!H176:H183,"Blog/FAQ")),(COUNTIF('Quick Compare'!D176:D183,"Portfolio/Gallery")+COUNTIF('Quick Compare'!H176:H183,"Portfolio/Gallery")),(COUNTIF('Quick Compare'!D176:D183,"About page")+COUNTIF('Quick Compare'!H176:H183,"About page")),(COUNTIF('Quick Compare'!D176:D183,"Other")+COUNTIF('Quick Compare'!H176:H183,"Other"))),"Blog/FAQ",IF((COUNTIF('Quick Compare'!D176:D183,"Portfolio/Gallery")+COUNTIF('Quick Compare'!H176:H183,"Portfolio/Gallery"))=MAX((COUNTIF('Quick Compare'!D176:D183,"Homepage")+COUNTIF('Quick Compare'!H176:H183,"Homepage")),(COUNTIF('Quick Compare'!D176:D183,"Service page")+COUNTIF('Quick Compare'!H176:H183,"Service page")),(COUNTIF('Quick Compare'!D176:D183,"Location page")+COUNTIF('Quick Compare'!H176:H183,"Location page")),(COUNTIF('Quick Compare'!D176:D183,"Directory")+COUNTIF('Quick Compare'!H176:H183,"Directory")),(COUNTIF('Quick Compare'!D176:D183,"Blog/FAQ")+COUNTIF('Quick Compare'!H176:H183,"Blog/FAQ")),(COUNTIF('Quick Compare'!D176:D183,"Portfolio/Gallery")+COUNTIF('Quick Compare'!H176:H183,"Portfolio/Gallery")),(COUNTIF('Quick Compare'!D176:D183,"About page")+COUNTIF('Quick Compare'!H176:H183,"About page")),(COUNTIF('Quick Compare'!D176:D183,"Other")+COUNTIF('Quick Compare'!H176:H183,"Other"))),"Portfolio/Gallery",IF((COUNTIF('Quick Compare'!D176:D183,"About page")+COUNTIF('Quick Compare'!H176:H183,"About page"))=MAX((COUNTIF('Quick Compare'!D176:D183,"Homepage")+COUNTIF('Quick Compare'!H176:H183,"Homepage")),(COUNTIF('Quick Compare'!D176:D183,"Service page")+COUNTIF('Quick Compare'!H176:H183,"Service page")),(COUNTIF('Quick Compare'!D176:D183,"Location page")+COUNTIF('Quick Compare'!H176:H183,"Location page")),(COUNTIF('Quick Compare'!D176:D183,"Directory")+COUNTIF('Quick Compare'!H176:H183,"Directory")),(COUNTIF('Quick Compare'!D176:D183,"Blog/FAQ")+COUNTIF('Quick Compare'!H176:H183,"Blog/FAQ")),(COUNTIF('Quick Compare'!D176:D183,"Portfolio/Gallery")+COUNTIF('Quick Compare'!H176:H183,"Portfolio/Gallery")),(COUNTIF('Quick Compare'!D176:D183,"About page")+COUNTIF('Quick Compare'!H176:H183,"About page")),(COUNTIF('Quick Compare'!D176:D183,"Other")+COUNTIF('Quick Compare'!H176:H183,"Other"))),"About page","Other"))))))))))</x:f>
      </x:c>
      <x:c r="K11" s="67"/>
      <x:c r="L11" s="67"/>
    </x:row>
    <x:row r="12">
      <x:c r="A12" s="67" t="str">
        <x:f>IF('Quick Compare'!B194="","",'Quick Compare'!B194)</x:f>
      </x:c>
      <x:c r="B12" s="67" t="str">
        <x:f>IF('Quick Compare'!B195="","",'Quick Compare'!B195)</x:f>
      </x:c>
      <x:c r="C12" s="67" t="str">
        <x:f>IF('Quick Compare'!B196="","",'Quick Compare'!B196)</x:f>
      </x:c>
      <x:c r="D12" s="67" t="str">
        <x:f>IF(B12="","",'Quick Compare'!B211)</x:f>
      </x:c>
      <x:c r="E12" s="67" t="str">
        <x:f>IF(B12="","",MAX(0,'Quick Compare'!B212-'Quick Compare'!B211))</x:f>
      </x:c>
      <x:c r="F12" s="67" t="str">
        <x:f>IF(B12="","",'Quick Compare'!B213)</x:f>
      </x:c>
      <x:c r="G12" s="67" t="str">
        <x:f>IF(B12="","",'Quick Compare'!B214)</x:f>
      </x:c>
      <x:c r="H12" s="67"/>
      <x:c r="I12" s="67"/>
      <x:c r="J12" s="67" t="str">
        <x:f>IF(B12="","",IF(MAX((COUNTIF('Quick Compare'!D200:D207,"Homepage")+COUNTIF('Quick Compare'!H200:H207,"Homepage")),(COUNTIF('Quick Compare'!D200:D207,"Service page")+COUNTIF('Quick Compare'!H200:H207,"Service page")),(COUNTIF('Quick Compare'!D200:D207,"Location page")+COUNTIF('Quick Compare'!H200:H207,"Location page")),(COUNTIF('Quick Compare'!D200:D207,"Directory")+COUNTIF('Quick Compare'!H200:H207,"Directory")),(COUNTIF('Quick Compare'!D200:D207,"Blog/FAQ")+COUNTIF('Quick Compare'!H200:H207,"Blog/FAQ")),(COUNTIF('Quick Compare'!D200:D207,"Portfolio/Gallery")+COUNTIF('Quick Compare'!H200:H207,"Portfolio/Gallery")),(COUNTIF('Quick Compare'!D200:D207,"About page")+COUNTIF('Quick Compare'!H200:H207,"About page")),(COUNTIF('Quick Compare'!D200:D207,"Other")+COUNTIF('Quick Compare'!H200:H207,"Other")))=0,"",IF((--((COUNTIF('Quick Compare'!D200:D207,"Homepage")+COUNTIF('Quick Compare'!H200:H207,"Homepage"))=MAX((COUNTIF('Quick Compare'!D200:D207,"Homepage")+COUNTIF('Quick Compare'!H200:H207,"Homepage")),(COUNTIF('Quick Compare'!D200:D207,"Service page")+COUNTIF('Quick Compare'!H200:H207,"Service page")),(COUNTIF('Quick Compare'!D200:D207,"Location page")+COUNTIF('Quick Compare'!H200:H207,"Location page")),(COUNTIF('Quick Compare'!D200:D207,"Directory")+COUNTIF('Quick Compare'!H200:H207,"Directory")),(COUNTIF('Quick Compare'!D200:D207,"Blog/FAQ")+COUNTIF('Quick Compare'!H200:H207,"Blog/FAQ")),(COUNTIF('Quick Compare'!D200:D207,"Portfolio/Gallery")+COUNTIF('Quick Compare'!H200:H207,"Portfolio/Gallery")),(COUNTIF('Quick Compare'!D200:D207,"About page")+COUNTIF('Quick Compare'!H200:H207,"About page")),(COUNTIF('Quick Compare'!D200:D207,"Other")+COUNTIF('Quick Compare'!H200:H207,"Other"))))+--((COUNTIF('Quick Compare'!D200:D207,"Service page")+COUNTIF('Quick Compare'!H200:H207,"Service page"))=MAX((COUNTIF('Quick Compare'!D200:D207,"Homepage")+COUNTIF('Quick Compare'!H200:H207,"Homepage")),(COUNTIF('Quick Compare'!D200:D207,"Service page")+COUNTIF('Quick Compare'!H200:H207,"Service page")),(COUNTIF('Quick Compare'!D200:D207,"Location page")+COUNTIF('Quick Compare'!H200:H207,"Location page")),(COUNTIF('Quick Compare'!D200:D207,"Directory")+COUNTIF('Quick Compare'!H200:H207,"Directory")),(COUNTIF('Quick Compare'!D200:D207,"Blog/FAQ")+COUNTIF('Quick Compare'!H200:H207,"Blog/FAQ")),(COUNTIF('Quick Compare'!D200:D207,"Portfolio/Gallery")+COUNTIF('Quick Compare'!H200:H207,"Portfolio/Gallery")),(COUNTIF('Quick Compare'!D200:D207,"About page")+COUNTIF('Quick Compare'!H200:H207,"About page")),(COUNTIF('Quick Compare'!D200:D207,"Other")+COUNTIF('Quick Compare'!H200:H207,"Other"))))+--((COUNTIF('Quick Compare'!D200:D207,"Location page")+COUNTIF('Quick Compare'!H200:H207,"Location page"))=MAX((COUNTIF('Quick Compare'!D200:D207,"Homepage")+COUNTIF('Quick Compare'!H200:H207,"Homepage")),(COUNTIF('Quick Compare'!D200:D207,"Service page")+COUNTIF('Quick Compare'!H200:H207,"Service page")),(COUNTIF('Quick Compare'!D200:D207,"Location page")+COUNTIF('Quick Compare'!H200:H207,"Location page")),(COUNTIF('Quick Compare'!D200:D207,"Directory")+COUNTIF('Quick Compare'!H200:H207,"Directory")),(COUNTIF('Quick Compare'!D200:D207,"Blog/FAQ")+COUNTIF('Quick Compare'!H200:H207,"Blog/FAQ")),(COUNTIF('Quick Compare'!D200:D207,"Portfolio/Gallery")+COUNTIF('Quick Compare'!H200:H207,"Portfolio/Gallery")),(COUNTIF('Quick Compare'!D200:D207,"About page")+COUNTIF('Quick Compare'!H200:H207,"About page")),(COUNTIF('Quick Compare'!D200:D207,"Other")+COUNTIF('Quick Compare'!H200:H207,"Other"))))+--((COUNTIF('Quick Compare'!D200:D207,"Directory")+COUNTIF('Quick Compare'!H200:H207,"Directory"))=MAX((COUNTIF('Quick Compare'!D200:D207,"Homepage")+COUNTIF('Quick Compare'!H200:H207,"Homepage")),(COUNTIF('Quick Compare'!D200:D207,"Service page")+COUNTIF('Quick Compare'!H200:H207,"Service page")),(COUNTIF('Quick Compare'!D200:D207,"Location page")+COUNTIF('Quick Compare'!H200:H207,"Location page")),(COUNTIF('Quick Compare'!D200:D207,"Directory")+COUNTIF('Quick Compare'!H200:H207,"Directory")),(COUNTIF('Quick Compare'!D200:D207,"Blog/FAQ")+COUNTIF('Quick Compare'!H200:H207,"Blog/FAQ")),(COUNTIF('Quick Compare'!D200:D207,"Portfolio/Gallery")+COUNTIF('Quick Compare'!H200:H207,"Portfolio/Gallery")),(COUNTIF('Quick Compare'!D200:D207,"About page")+COUNTIF('Quick Compare'!H200:H207,"About page")),(COUNTIF('Quick Compare'!D200:D207,"Other")+COUNTIF('Quick Compare'!H200:H207,"Other"))))+--((COUNTIF('Quick Compare'!D200:D207,"Blog/FAQ")+COUNTIF('Quick Compare'!H200:H207,"Blog/FAQ"))=MAX((COUNTIF('Quick Compare'!D200:D207,"Homepage")+COUNTIF('Quick Compare'!H200:H207,"Homepage")),(COUNTIF('Quick Compare'!D200:D207,"Service page")+COUNTIF('Quick Compare'!H200:H207,"Service page")),(COUNTIF('Quick Compare'!D200:D207,"Location page")+COUNTIF('Quick Compare'!H200:H207,"Location page")),(COUNTIF('Quick Compare'!D200:D207,"Directory")+COUNTIF('Quick Compare'!H200:H207,"Directory")),(COUNTIF('Quick Compare'!D200:D207,"Blog/FAQ")+COUNTIF('Quick Compare'!H200:H207,"Blog/FAQ")),(COUNTIF('Quick Compare'!D200:D207,"Portfolio/Gallery")+COUNTIF('Quick Compare'!H200:H207,"Portfolio/Gallery")),(COUNTIF('Quick Compare'!D200:D207,"About page")+COUNTIF('Quick Compare'!H200:H207,"About page")),(COUNTIF('Quick Compare'!D200:D207,"Other")+COUNTIF('Quick Compare'!H200:H207,"Other"))))+--((COUNTIF('Quick Compare'!D200:D207,"Portfolio/Gallery")+COUNTIF('Quick Compare'!H200:H207,"Portfolio/Gallery"))=MAX((COUNTIF('Quick Compare'!D200:D207,"Homepage")+COUNTIF('Quick Compare'!H200:H207,"Homepage")),(COUNTIF('Quick Compare'!D200:D207,"Service page")+COUNTIF('Quick Compare'!H200:H207,"Service page")),(COUNTIF('Quick Compare'!D200:D207,"Location page")+COUNTIF('Quick Compare'!H200:H207,"Location page")),(COUNTIF('Quick Compare'!D200:D207,"Directory")+COUNTIF('Quick Compare'!H200:H207,"Directory")),(COUNTIF('Quick Compare'!D200:D207,"Blog/FAQ")+COUNTIF('Quick Compare'!H200:H207,"Blog/FAQ")),(COUNTIF('Quick Compare'!D200:D207,"Portfolio/Gallery")+COUNTIF('Quick Compare'!H200:H207,"Portfolio/Gallery")),(COUNTIF('Quick Compare'!D200:D207,"About page")+COUNTIF('Quick Compare'!H200:H207,"About page")),(COUNTIF('Quick Compare'!D200:D207,"Other")+COUNTIF('Quick Compare'!H200:H207,"Other"))))+--((COUNTIF('Quick Compare'!D200:D207,"About page")+COUNTIF('Quick Compare'!H200:H207,"About page"))=MAX((COUNTIF('Quick Compare'!D200:D207,"Homepage")+COUNTIF('Quick Compare'!H200:H207,"Homepage")),(COUNTIF('Quick Compare'!D200:D207,"Service page")+COUNTIF('Quick Compare'!H200:H207,"Service page")),(COUNTIF('Quick Compare'!D200:D207,"Location page")+COUNTIF('Quick Compare'!H200:H207,"Location page")),(COUNTIF('Quick Compare'!D200:D207,"Directory")+COUNTIF('Quick Compare'!H200:H207,"Directory")),(COUNTIF('Quick Compare'!D200:D207,"Blog/FAQ")+COUNTIF('Quick Compare'!H200:H207,"Blog/FAQ")),(COUNTIF('Quick Compare'!D200:D207,"Portfolio/Gallery")+COUNTIF('Quick Compare'!H200:H207,"Portfolio/Gallery")),(COUNTIF('Quick Compare'!D200:D207,"About page")+COUNTIF('Quick Compare'!H200:H207,"About page")),(COUNTIF('Quick Compare'!D200:D207,"Other")+COUNTIF('Quick Compare'!H200:H207,"Other"))))+--((COUNTIF('Quick Compare'!D200:D207,"Other")+COUNTIF('Quick Compare'!H200:H207,"Other"))=MAX((COUNTIF('Quick Compare'!D200:D207,"Homepage")+COUNTIF('Quick Compare'!H200:H207,"Homepage")),(COUNTIF('Quick Compare'!D200:D207,"Service page")+COUNTIF('Quick Compare'!H200:H207,"Service page")),(COUNTIF('Quick Compare'!D200:D207,"Location page")+COUNTIF('Quick Compare'!H200:H207,"Location page")),(COUNTIF('Quick Compare'!D200:D207,"Directory")+COUNTIF('Quick Compare'!H200:H207,"Directory")),(COUNTIF('Quick Compare'!D200:D207,"Blog/FAQ")+COUNTIF('Quick Compare'!H200:H207,"Blog/FAQ")),(COUNTIF('Quick Compare'!D200:D207,"Portfolio/Gallery")+COUNTIF('Quick Compare'!H200:H207,"Portfolio/Gallery")),(COUNTIF('Quick Compare'!D200:D207,"About page")+COUNTIF('Quick Compare'!H200:H207,"About page")),(COUNTIF('Quick Compare'!D200:D207,"Other")+COUNTIF('Quick Compare'!H200:H207,"Other")))))&gt;1,"Tie / review",IF((COUNTIF('Quick Compare'!D200:D207,"Homepage")+COUNTIF('Quick Compare'!H200:H207,"Homepage"))=MAX((COUNTIF('Quick Compare'!D200:D207,"Homepage")+COUNTIF('Quick Compare'!H200:H207,"Homepage")),(COUNTIF('Quick Compare'!D200:D207,"Service page")+COUNTIF('Quick Compare'!H200:H207,"Service page")),(COUNTIF('Quick Compare'!D200:D207,"Location page")+COUNTIF('Quick Compare'!H200:H207,"Location page")),(COUNTIF('Quick Compare'!D200:D207,"Directory")+COUNTIF('Quick Compare'!H200:H207,"Directory")),(COUNTIF('Quick Compare'!D200:D207,"Blog/FAQ")+COUNTIF('Quick Compare'!H200:H207,"Blog/FAQ")),(COUNTIF('Quick Compare'!D200:D207,"Portfolio/Gallery")+COUNTIF('Quick Compare'!H200:H207,"Portfolio/Gallery")),(COUNTIF('Quick Compare'!D200:D207,"About page")+COUNTIF('Quick Compare'!H200:H207,"About page")),(COUNTIF('Quick Compare'!D200:D207,"Other")+COUNTIF('Quick Compare'!H200:H207,"Other"))),"Homepage",IF((COUNTIF('Quick Compare'!D200:D207,"Service page")+COUNTIF('Quick Compare'!H200:H207,"Service page"))=MAX((COUNTIF('Quick Compare'!D200:D207,"Homepage")+COUNTIF('Quick Compare'!H200:H207,"Homepage")),(COUNTIF('Quick Compare'!D200:D207,"Service page")+COUNTIF('Quick Compare'!H200:H207,"Service page")),(COUNTIF('Quick Compare'!D200:D207,"Location page")+COUNTIF('Quick Compare'!H200:H207,"Location page")),(COUNTIF('Quick Compare'!D200:D207,"Directory")+COUNTIF('Quick Compare'!H200:H207,"Directory")),(COUNTIF('Quick Compare'!D200:D207,"Blog/FAQ")+COUNTIF('Quick Compare'!H200:H207,"Blog/FAQ")),(COUNTIF('Quick Compare'!D200:D207,"Portfolio/Gallery")+COUNTIF('Quick Compare'!H200:H207,"Portfolio/Gallery")),(COUNTIF('Quick Compare'!D200:D207,"About page")+COUNTIF('Quick Compare'!H200:H207,"About page")),(COUNTIF('Quick Compare'!D200:D207,"Other")+COUNTIF('Quick Compare'!H200:H207,"Other"))),"Service page",IF((COUNTIF('Quick Compare'!D200:D207,"Location page")+COUNTIF('Quick Compare'!H200:H207,"Location page"))=MAX((COUNTIF('Quick Compare'!D200:D207,"Homepage")+COUNTIF('Quick Compare'!H200:H207,"Homepage")),(COUNTIF('Quick Compare'!D200:D207,"Service page")+COUNTIF('Quick Compare'!H200:H207,"Service page")),(COUNTIF('Quick Compare'!D200:D207,"Location page")+COUNTIF('Quick Compare'!H200:H207,"Location page")),(COUNTIF('Quick Compare'!D200:D207,"Directory")+COUNTIF('Quick Compare'!H200:H207,"Directory")),(COUNTIF('Quick Compare'!D200:D207,"Blog/FAQ")+COUNTIF('Quick Compare'!H200:H207,"Blog/FAQ")),(COUNTIF('Quick Compare'!D200:D207,"Portfolio/Gallery")+COUNTIF('Quick Compare'!H200:H207,"Portfolio/Gallery")),(COUNTIF('Quick Compare'!D200:D207,"About page")+COUNTIF('Quick Compare'!H200:H207,"About page")),(COUNTIF('Quick Compare'!D200:D207,"Other")+COUNTIF('Quick Compare'!H200:H207,"Other"))),"Location page",IF((COUNTIF('Quick Compare'!D200:D207,"Directory")+COUNTIF('Quick Compare'!H200:H207,"Directory"))=MAX((COUNTIF('Quick Compare'!D200:D207,"Homepage")+COUNTIF('Quick Compare'!H200:H207,"Homepage")),(COUNTIF('Quick Compare'!D200:D207,"Service page")+COUNTIF('Quick Compare'!H200:H207,"Service page")),(COUNTIF('Quick Compare'!D200:D207,"Location page")+COUNTIF('Quick Compare'!H200:H207,"Location page")),(COUNTIF('Quick Compare'!D200:D207,"Directory")+COUNTIF('Quick Compare'!H200:H207,"Directory")),(COUNTIF('Quick Compare'!D200:D207,"Blog/FAQ")+COUNTIF('Quick Compare'!H200:H207,"Blog/FAQ")),(COUNTIF('Quick Compare'!D200:D207,"Portfolio/Gallery")+COUNTIF('Quick Compare'!H200:H207,"Portfolio/Gallery")),(COUNTIF('Quick Compare'!D200:D207,"About page")+COUNTIF('Quick Compare'!H200:H207,"About page")),(COUNTIF('Quick Compare'!D200:D207,"Other")+COUNTIF('Quick Compare'!H200:H207,"Other"))),"Directory",IF((COUNTIF('Quick Compare'!D200:D207,"Blog/FAQ")+COUNTIF('Quick Compare'!H200:H207,"Blog/FAQ"))=MAX((COUNTIF('Quick Compare'!D200:D207,"Homepage")+COUNTIF('Quick Compare'!H200:H207,"Homepage")),(COUNTIF('Quick Compare'!D200:D207,"Service page")+COUNTIF('Quick Compare'!H200:H207,"Service page")),(COUNTIF('Quick Compare'!D200:D207,"Location page")+COUNTIF('Quick Compare'!H200:H207,"Location page")),(COUNTIF('Quick Compare'!D200:D207,"Directory")+COUNTIF('Quick Compare'!H200:H207,"Directory")),(COUNTIF('Quick Compare'!D200:D207,"Blog/FAQ")+COUNTIF('Quick Compare'!H200:H207,"Blog/FAQ")),(COUNTIF('Quick Compare'!D200:D207,"Portfolio/Gallery")+COUNTIF('Quick Compare'!H200:H207,"Portfolio/Gallery")),(COUNTIF('Quick Compare'!D200:D207,"About page")+COUNTIF('Quick Compare'!H200:H207,"About page")),(COUNTIF('Quick Compare'!D200:D207,"Other")+COUNTIF('Quick Compare'!H200:H207,"Other"))),"Blog/FAQ",IF((COUNTIF('Quick Compare'!D200:D207,"Portfolio/Gallery")+COUNTIF('Quick Compare'!H200:H207,"Portfolio/Gallery"))=MAX((COUNTIF('Quick Compare'!D200:D207,"Homepage")+COUNTIF('Quick Compare'!H200:H207,"Homepage")),(COUNTIF('Quick Compare'!D200:D207,"Service page")+COUNTIF('Quick Compare'!H200:H207,"Service page")),(COUNTIF('Quick Compare'!D200:D207,"Location page")+COUNTIF('Quick Compare'!H200:H207,"Location page")),(COUNTIF('Quick Compare'!D200:D207,"Directory")+COUNTIF('Quick Compare'!H200:H207,"Directory")),(COUNTIF('Quick Compare'!D200:D207,"Blog/FAQ")+COUNTIF('Quick Compare'!H200:H207,"Blog/FAQ")),(COUNTIF('Quick Compare'!D200:D207,"Portfolio/Gallery")+COUNTIF('Quick Compare'!H200:H207,"Portfolio/Gallery")),(COUNTIF('Quick Compare'!D200:D207,"About page")+COUNTIF('Quick Compare'!H200:H207,"About page")),(COUNTIF('Quick Compare'!D200:D207,"Other")+COUNTIF('Quick Compare'!H200:H207,"Other"))),"Portfolio/Gallery",IF((COUNTIF('Quick Compare'!D200:D207,"About page")+COUNTIF('Quick Compare'!H200:H207,"About page"))=MAX((COUNTIF('Quick Compare'!D200:D207,"Homepage")+COUNTIF('Quick Compare'!H200:H207,"Homepage")),(COUNTIF('Quick Compare'!D200:D207,"Service page")+COUNTIF('Quick Compare'!H200:H207,"Service page")),(COUNTIF('Quick Compare'!D200:D207,"Location page")+COUNTIF('Quick Compare'!H200:H207,"Location page")),(COUNTIF('Quick Compare'!D200:D207,"Directory")+COUNTIF('Quick Compare'!H200:H207,"Directory")),(COUNTIF('Quick Compare'!D200:D207,"Blog/FAQ")+COUNTIF('Quick Compare'!H200:H207,"Blog/FAQ")),(COUNTIF('Quick Compare'!D200:D207,"Portfolio/Gallery")+COUNTIF('Quick Compare'!H200:H207,"Portfolio/Gallery")),(COUNTIF('Quick Compare'!D200:D207,"About page")+COUNTIF('Quick Compare'!H200:H207,"About page")),(COUNTIF('Quick Compare'!D200:D207,"Other")+COUNTIF('Quick Compare'!H200:H207,"Other"))),"About page","Other"))))))))))</x:f>
      </x:c>
      <x:c r="K12" s="67"/>
      <x:c r="L12" s="67"/>
    </x:row>
    <x:row r="13">
      <x:c r="A13" s="67" t="str">
        <x:f>IF('Quick Compare'!B218="","",'Quick Compare'!B218)</x:f>
      </x:c>
      <x:c r="B13" s="67" t="str">
        <x:f>IF('Quick Compare'!B219="","",'Quick Compare'!B219)</x:f>
      </x:c>
      <x:c r="C13" s="67" t="str">
        <x:f>IF('Quick Compare'!B220="","",'Quick Compare'!B220)</x:f>
      </x:c>
      <x:c r="D13" s="67" t="str">
        <x:f>IF(B13="","",'Quick Compare'!B235)</x:f>
      </x:c>
      <x:c r="E13" s="67" t="str">
        <x:f>IF(B13="","",MAX(0,'Quick Compare'!B236-'Quick Compare'!B235))</x:f>
      </x:c>
      <x:c r="F13" s="67" t="str">
        <x:f>IF(B13="","",'Quick Compare'!B237)</x:f>
      </x:c>
      <x:c r="G13" s="67" t="str">
        <x:f>IF(B13="","",'Quick Compare'!B238)</x:f>
      </x:c>
      <x:c r="H13" s="67"/>
      <x:c r="I13" s="67"/>
      <x:c r="J13" s="67" t="str">
        <x:f>IF(B13="","",IF(MAX((COUNTIF('Quick Compare'!D224:D231,"Homepage")+COUNTIF('Quick Compare'!H224:H231,"Homepage")),(COUNTIF('Quick Compare'!D224:D231,"Service page")+COUNTIF('Quick Compare'!H224:H231,"Service page")),(COUNTIF('Quick Compare'!D224:D231,"Location page")+COUNTIF('Quick Compare'!H224:H231,"Location page")),(COUNTIF('Quick Compare'!D224:D231,"Directory")+COUNTIF('Quick Compare'!H224:H231,"Directory")),(COUNTIF('Quick Compare'!D224:D231,"Blog/FAQ")+COUNTIF('Quick Compare'!H224:H231,"Blog/FAQ")),(COUNTIF('Quick Compare'!D224:D231,"Portfolio/Gallery")+COUNTIF('Quick Compare'!H224:H231,"Portfolio/Gallery")),(COUNTIF('Quick Compare'!D224:D231,"About page")+COUNTIF('Quick Compare'!H224:H231,"About page")),(COUNTIF('Quick Compare'!D224:D231,"Other")+COUNTIF('Quick Compare'!H224:H231,"Other")))=0,"",IF((--((COUNTIF('Quick Compare'!D224:D231,"Homepage")+COUNTIF('Quick Compare'!H224:H231,"Homepage"))=MAX((COUNTIF('Quick Compare'!D224:D231,"Homepage")+COUNTIF('Quick Compare'!H224:H231,"Homepage")),(COUNTIF('Quick Compare'!D224:D231,"Service page")+COUNTIF('Quick Compare'!H224:H231,"Service page")),(COUNTIF('Quick Compare'!D224:D231,"Location page")+COUNTIF('Quick Compare'!H224:H231,"Location page")),(COUNTIF('Quick Compare'!D224:D231,"Directory")+COUNTIF('Quick Compare'!H224:H231,"Directory")),(COUNTIF('Quick Compare'!D224:D231,"Blog/FAQ")+COUNTIF('Quick Compare'!H224:H231,"Blog/FAQ")),(COUNTIF('Quick Compare'!D224:D231,"Portfolio/Gallery")+COUNTIF('Quick Compare'!H224:H231,"Portfolio/Gallery")),(COUNTIF('Quick Compare'!D224:D231,"About page")+COUNTIF('Quick Compare'!H224:H231,"About page")),(COUNTIF('Quick Compare'!D224:D231,"Other")+COUNTIF('Quick Compare'!H224:H231,"Other"))))+--((COUNTIF('Quick Compare'!D224:D231,"Service page")+COUNTIF('Quick Compare'!H224:H231,"Service page"))=MAX((COUNTIF('Quick Compare'!D224:D231,"Homepage")+COUNTIF('Quick Compare'!H224:H231,"Homepage")),(COUNTIF('Quick Compare'!D224:D231,"Service page")+COUNTIF('Quick Compare'!H224:H231,"Service page")),(COUNTIF('Quick Compare'!D224:D231,"Location page")+COUNTIF('Quick Compare'!H224:H231,"Location page")),(COUNTIF('Quick Compare'!D224:D231,"Directory")+COUNTIF('Quick Compare'!H224:H231,"Directory")),(COUNTIF('Quick Compare'!D224:D231,"Blog/FAQ")+COUNTIF('Quick Compare'!H224:H231,"Blog/FAQ")),(COUNTIF('Quick Compare'!D224:D231,"Portfolio/Gallery")+COUNTIF('Quick Compare'!H224:H231,"Portfolio/Gallery")),(COUNTIF('Quick Compare'!D224:D231,"About page")+COUNTIF('Quick Compare'!H224:H231,"About page")),(COUNTIF('Quick Compare'!D224:D231,"Other")+COUNTIF('Quick Compare'!H224:H231,"Other"))))+--((COUNTIF('Quick Compare'!D224:D231,"Location page")+COUNTIF('Quick Compare'!H224:H231,"Location page"))=MAX((COUNTIF('Quick Compare'!D224:D231,"Homepage")+COUNTIF('Quick Compare'!H224:H231,"Homepage")),(COUNTIF('Quick Compare'!D224:D231,"Service page")+COUNTIF('Quick Compare'!H224:H231,"Service page")),(COUNTIF('Quick Compare'!D224:D231,"Location page")+COUNTIF('Quick Compare'!H224:H231,"Location page")),(COUNTIF('Quick Compare'!D224:D231,"Directory")+COUNTIF('Quick Compare'!H224:H231,"Directory")),(COUNTIF('Quick Compare'!D224:D231,"Blog/FAQ")+COUNTIF('Quick Compare'!H224:H231,"Blog/FAQ")),(COUNTIF('Quick Compare'!D224:D231,"Portfolio/Gallery")+COUNTIF('Quick Compare'!H224:H231,"Portfolio/Gallery")),(COUNTIF('Quick Compare'!D224:D231,"About page")+COUNTIF('Quick Compare'!H224:H231,"About page")),(COUNTIF('Quick Compare'!D224:D231,"Other")+COUNTIF('Quick Compare'!H224:H231,"Other"))))+--((COUNTIF('Quick Compare'!D224:D231,"Directory")+COUNTIF('Quick Compare'!H224:H231,"Directory"))=MAX((COUNTIF('Quick Compare'!D224:D231,"Homepage")+COUNTIF('Quick Compare'!H224:H231,"Homepage")),(COUNTIF('Quick Compare'!D224:D231,"Service page")+COUNTIF('Quick Compare'!H224:H231,"Service page")),(COUNTIF('Quick Compare'!D224:D231,"Location page")+COUNTIF('Quick Compare'!H224:H231,"Location page")),(COUNTIF('Quick Compare'!D224:D231,"Directory")+COUNTIF('Quick Compare'!H224:H231,"Directory")),(COUNTIF('Quick Compare'!D224:D231,"Blog/FAQ")+COUNTIF('Quick Compare'!H224:H231,"Blog/FAQ")),(COUNTIF('Quick Compare'!D224:D231,"Portfolio/Gallery")+COUNTIF('Quick Compare'!H224:H231,"Portfolio/Gallery")),(COUNTIF('Quick Compare'!D224:D231,"About page")+COUNTIF('Quick Compare'!H224:H231,"About page")),(COUNTIF('Quick Compare'!D224:D231,"Other")+COUNTIF('Quick Compare'!H224:H231,"Other"))))+--((COUNTIF('Quick Compare'!D224:D231,"Blog/FAQ")+COUNTIF('Quick Compare'!H224:H231,"Blog/FAQ"))=MAX((COUNTIF('Quick Compare'!D224:D231,"Homepage")+COUNTIF('Quick Compare'!H224:H231,"Homepage")),(COUNTIF('Quick Compare'!D224:D231,"Service page")+COUNTIF('Quick Compare'!H224:H231,"Service page")),(COUNTIF('Quick Compare'!D224:D231,"Location page")+COUNTIF('Quick Compare'!H224:H231,"Location page")),(COUNTIF('Quick Compare'!D224:D231,"Directory")+COUNTIF('Quick Compare'!H224:H231,"Directory")),(COUNTIF('Quick Compare'!D224:D231,"Blog/FAQ")+COUNTIF('Quick Compare'!H224:H231,"Blog/FAQ")),(COUNTIF('Quick Compare'!D224:D231,"Portfolio/Gallery")+COUNTIF('Quick Compare'!H224:H231,"Portfolio/Gallery")),(COUNTIF('Quick Compare'!D224:D231,"About page")+COUNTIF('Quick Compare'!H224:H231,"About page")),(COUNTIF('Quick Compare'!D224:D231,"Other")+COUNTIF('Quick Compare'!H224:H231,"Other"))))+--((COUNTIF('Quick Compare'!D224:D231,"Portfolio/Gallery")+COUNTIF('Quick Compare'!H224:H231,"Portfolio/Gallery"))=MAX((COUNTIF('Quick Compare'!D224:D231,"Homepage")+COUNTIF('Quick Compare'!H224:H231,"Homepage")),(COUNTIF('Quick Compare'!D224:D231,"Service page")+COUNTIF('Quick Compare'!H224:H231,"Service page")),(COUNTIF('Quick Compare'!D224:D231,"Location page")+COUNTIF('Quick Compare'!H224:H231,"Location page")),(COUNTIF('Quick Compare'!D224:D231,"Directory")+COUNTIF('Quick Compare'!H224:H231,"Directory")),(COUNTIF('Quick Compare'!D224:D231,"Blog/FAQ")+COUNTIF('Quick Compare'!H224:H231,"Blog/FAQ")),(COUNTIF('Quick Compare'!D224:D231,"Portfolio/Gallery")+COUNTIF('Quick Compare'!H224:H231,"Portfolio/Gallery")),(COUNTIF('Quick Compare'!D224:D231,"About page")+COUNTIF('Quick Compare'!H224:H231,"About page")),(COUNTIF('Quick Compare'!D224:D231,"Other")+COUNTIF('Quick Compare'!H224:H231,"Other"))))+--((COUNTIF('Quick Compare'!D224:D231,"About page")+COUNTIF('Quick Compare'!H224:H231,"About page"))=MAX((COUNTIF('Quick Compare'!D224:D231,"Homepage")+COUNTIF('Quick Compare'!H224:H231,"Homepage")),(COUNTIF('Quick Compare'!D224:D231,"Service page")+COUNTIF('Quick Compare'!H224:H231,"Service page")),(COUNTIF('Quick Compare'!D224:D231,"Location page")+COUNTIF('Quick Compare'!H224:H231,"Location page")),(COUNTIF('Quick Compare'!D224:D231,"Directory")+COUNTIF('Quick Compare'!H224:H231,"Directory")),(COUNTIF('Quick Compare'!D224:D231,"Blog/FAQ")+COUNTIF('Quick Compare'!H224:H231,"Blog/FAQ")),(COUNTIF('Quick Compare'!D224:D231,"Portfolio/Gallery")+COUNTIF('Quick Compare'!H224:H231,"Portfolio/Gallery")),(COUNTIF('Quick Compare'!D224:D231,"About page")+COUNTIF('Quick Compare'!H224:H231,"About page")),(COUNTIF('Quick Compare'!D224:D231,"Other")+COUNTIF('Quick Compare'!H224:H231,"Other"))))+--((COUNTIF('Quick Compare'!D224:D231,"Other")+COUNTIF('Quick Compare'!H224:H231,"Other"))=MAX((COUNTIF('Quick Compare'!D224:D231,"Homepage")+COUNTIF('Quick Compare'!H224:H231,"Homepage")),(COUNTIF('Quick Compare'!D224:D231,"Service page")+COUNTIF('Quick Compare'!H224:H231,"Service page")),(COUNTIF('Quick Compare'!D224:D231,"Location page")+COUNTIF('Quick Compare'!H224:H231,"Location page")),(COUNTIF('Quick Compare'!D224:D231,"Directory")+COUNTIF('Quick Compare'!H224:H231,"Directory")),(COUNTIF('Quick Compare'!D224:D231,"Blog/FAQ")+COUNTIF('Quick Compare'!H224:H231,"Blog/FAQ")),(COUNTIF('Quick Compare'!D224:D231,"Portfolio/Gallery")+COUNTIF('Quick Compare'!H224:H231,"Portfolio/Gallery")),(COUNTIF('Quick Compare'!D224:D231,"About page")+COUNTIF('Quick Compare'!H224:H231,"About page")),(COUNTIF('Quick Compare'!D224:D231,"Other")+COUNTIF('Quick Compare'!H224:H231,"Other")))))&gt;1,"Tie / review",IF((COUNTIF('Quick Compare'!D224:D231,"Homepage")+COUNTIF('Quick Compare'!H224:H231,"Homepage"))=MAX((COUNTIF('Quick Compare'!D224:D231,"Homepage")+COUNTIF('Quick Compare'!H224:H231,"Homepage")),(COUNTIF('Quick Compare'!D224:D231,"Service page")+COUNTIF('Quick Compare'!H224:H231,"Service page")),(COUNTIF('Quick Compare'!D224:D231,"Location page")+COUNTIF('Quick Compare'!H224:H231,"Location page")),(COUNTIF('Quick Compare'!D224:D231,"Directory")+COUNTIF('Quick Compare'!H224:H231,"Directory")),(COUNTIF('Quick Compare'!D224:D231,"Blog/FAQ")+COUNTIF('Quick Compare'!H224:H231,"Blog/FAQ")),(COUNTIF('Quick Compare'!D224:D231,"Portfolio/Gallery")+COUNTIF('Quick Compare'!H224:H231,"Portfolio/Gallery")),(COUNTIF('Quick Compare'!D224:D231,"About page")+COUNTIF('Quick Compare'!H224:H231,"About page")),(COUNTIF('Quick Compare'!D224:D231,"Other")+COUNTIF('Quick Compare'!H224:H231,"Other"))),"Homepage",IF((COUNTIF('Quick Compare'!D224:D231,"Service page")+COUNTIF('Quick Compare'!H224:H231,"Service page"))=MAX((COUNTIF('Quick Compare'!D224:D231,"Homepage")+COUNTIF('Quick Compare'!H224:H231,"Homepage")),(COUNTIF('Quick Compare'!D224:D231,"Service page")+COUNTIF('Quick Compare'!H224:H231,"Service page")),(COUNTIF('Quick Compare'!D224:D231,"Location page")+COUNTIF('Quick Compare'!H224:H231,"Location page")),(COUNTIF('Quick Compare'!D224:D231,"Directory")+COUNTIF('Quick Compare'!H224:H231,"Directory")),(COUNTIF('Quick Compare'!D224:D231,"Blog/FAQ")+COUNTIF('Quick Compare'!H224:H231,"Blog/FAQ")),(COUNTIF('Quick Compare'!D224:D231,"Portfolio/Gallery")+COUNTIF('Quick Compare'!H224:H231,"Portfolio/Gallery")),(COUNTIF('Quick Compare'!D224:D231,"About page")+COUNTIF('Quick Compare'!H224:H231,"About page")),(COUNTIF('Quick Compare'!D224:D231,"Other")+COUNTIF('Quick Compare'!H224:H231,"Other"))),"Service page",IF((COUNTIF('Quick Compare'!D224:D231,"Location page")+COUNTIF('Quick Compare'!H224:H231,"Location page"))=MAX((COUNTIF('Quick Compare'!D224:D231,"Homepage")+COUNTIF('Quick Compare'!H224:H231,"Homepage")),(COUNTIF('Quick Compare'!D224:D231,"Service page")+COUNTIF('Quick Compare'!H224:H231,"Service page")),(COUNTIF('Quick Compare'!D224:D231,"Location page")+COUNTIF('Quick Compare'!H224:H231,"Location page")),(COUNTIF('Quick Compare'!D224:D231,"Directory")+COUNTIF('Quick Compare'!H224:H231,"Directory")),(COUNTIF('Quick Compare'!D224:D231,"Blog/FAQ")+COUNTIF('Quick Compare'!H224:H231,"Blog/FAQ")),(COUNTIF('Quick Compare'!D224:D231,"Portfolio/Gallery")+COUNTIF('Quick Compare'!H224:H231,"Portfolio/Gallery")),(COUNTIF('Quick Compare'!D224:D231,"About page")+COUNTIF('Quick Compare'!H224:H231,"About page")),(COUNTIF('Quick Compare'!D224:D231,"Other")+COUNTIF('Quick Compare'!H224:H231,"Other"))),"Location page",IF((COUNTIF('Quick Compare'!D224:D231,"Directory")+COUNTIF('Quick Compare'!H224:H231,"Directory"))=MAX((COUNTIF('Quick Compare'!D224:D231,"Homepage")+COUNTIF('Quick Compare'!H224:H231,"Homepage")),(COUNTIF('Quick Compare'!D224:D231,"Service page")+COUNTIF('Quick Compare'!H224:H231,"Service page")),(COUNTIF('Quick Compare'!D224:D231,"Location page")+COUNTIF('Quick Compare'!H224:H231,"Location page")),(COUNTIF('Quick Compare'!D224:D231,"Directory")+COUNTIF('Quick Compare'!H224:H231,"Directory")),(COUNTIF('Quick Compare'!D224:D231,"Blog/FAQ")+COUNTIF('Quick Compare'!H224:H231,"Blog/FAQ")),(COUNTIF('Quick Compare'!D224:D231,"Portfolio/Gallery")+COUNTIF('Quick Compare'!H224:H231,"Portfolio/Gallery")),(COUNTIF('Quick Compare'!D224:D231,"About page")+COUNTIF('Quick Compare'!H224:H231,"About page")),(COUNTIF('Quick Compare'!D224:D231,"Other")+COUNTIF('Quick Compare'!H224:H231,"Other"))),"Directory",IF((COUNTIF('Quick Compare'!D224:D231,"Blog/FAQ")+COUNTIF('Quick Compare'!H224:H231,"Blog/FAQ"))=MAX((COUNTIF('Quick Compare'!D224:D231,"Homepage")+COUNTIF('Quick Compare'!H224:H231,"Homepage")),(COUNTIF('Quick Compare'!D224:D231,"Service page")+COUNTIF('Quick Compare'!H224:H231,"Service page")),(COUNTIF('Quick Compare'!D224:D231,"Location page")+COUNTIF('Quick Compare'!H224:H231,"Location page")),(COUNTIF('Quick Compare'!D224:D231,"Directory")+COUNTIF('Quick Compare'!H224:H231,"Directory")),(COUNTIF('Quick Compare'!D224:D231,"Blog/FAQ")+COUNTIF('Quick Compare'!H224:H231,"Blog/FAQ")),(COUNTIF('Quick Compare'!D224:D231,"Portfolio/Gallery")+COUNTIF('Quick Compare'!H224:H231,"Portfolio/Gallery")),(COUNTIF('Quick Compare'!D224:D231,"About page")+COUNTIF('Quick Compare'!H224:H231,"About page")),(COUNTIF('Quick Compare'!D224:D231,"Other")+COUNTIF('Quick Compare'!H224:H231,"Other"))),"Blog/FAQ",IF((COUNTIF('Quick Compare'!D224:D231,"Portfolio/Gallery")+COUNTIF('Quick Compare'!H224:H231,"Portfolio/Gallery"))=MAX((COUNTIF('Quick Compare'!D224:D231,"Homepage")+COUNTIF('Quick Compare'!H224:H231,"Homepage")),(COUNTIF('Quick Compare'!D224:D231,"Service page")+COUNTIF('Quick Compare'!H224:H231,"Service page")),(COUNTIF('Quick Compare'!D224:D231,"Location page")+COUNTIF('Quick Compare'!H224:H231,"Location page")),(COUNTIF('Quick Compare'!D224:D231,"Directory")+COUNTIF('Quick Compare'!H224:H231,"Directory")),(COUNTIF('Quick Compare'!D224:D231,"Blog/FAQ")+COUNTIF('Quick Compare'!H224:H231,"Blog/FAQ")),(COUNTIF('Quick Compare'!D224:D231,"Portfolio/Gallery")+COUNTIF('Quick Compare'!H224:H231,"Portfolio/Gallery")),(COUNTIF('Quick Compare'!D224:D231,"About page")+COUNTIF('Quick Compare'!H224:H231,"About page")),(COUNTIF('Quick Compare'!D224:D231,"Other")+COUNTIF('Quick Compare'!H224:H231,"Other"))),"Portfolio/Gallery",IF((COUNTIF('Quick Compare'!D224:D231,"About page")+COUNTIF('Quick Compare'!H224:H231,"About page"))=MAX((COUNTIF('Quick Compare'!D224:D231,"Homepage")+COUNTIF('Quick Compare'!H224:H231,"Homepage")),(COUNTIF('Quick Compare'!D224:D231,"Service page")+COUNTIF('Quick Compare'!H224:H231,"Service page")),(COUNTIF('Quick Compare'!D224:D231,"Location page")+COUNTIF('Quick Compare'!H224:H231,"Location page")),(COUNTIF('Quick Compare'!D224:D231,"Directory")+COUNTIF('Quick Compare'!H224:H231,"Directory")),(COUNTIF('Quick Compare'!D224:D231,"Blog/FAQ")+COUNTIF('Quick Compare'!H224:H231,"Blog/FAQ")),(COUNTIF('Quick Compare'!D224:D231,"Portfolio/Gallery")+COUNTIF('Quick Compare'!H224:H231,"Portfolio/Gallery")),(COUNTIF('Quick Compare'!D224:D231,"About page")+COUNTIF('Quick Compare'!H224:H231,"About page")),(COUNTIF('Quick Compare'!D224:D231,"Other")+COUNTIF('Quick Compare'!H224:H231,"Other"))),"About page","Other"))))))))))</x:f>
      </x:c>
      <x:c r="K13" s="67"/>
      <x:c r="L13" s="67"/>
    </x:row>
    <x:row r="14">
      <x:c r="A14" s="67" t="str">
        <x:f>IF('Quick Compare'!B242="","",'Quick Compare'!B242)</x:f>
      </x:c>
      <x:c r="B14" s="67" t="str">
        <x:f>IF('Quick Compare'!B243="","",'Quick Compare'!B243)</x:f>
      </x:c>
      <x:c r="C14" s="67" t="str">
        <x:f>IF('Quick Compare'!B244="","",'Quick Compare'!B244)</x:f>
      </x:c>
      <x:c r="D14" s="67" t="str">
        <x:f>IF(B14="","",'Quick Compare'!B259)</x:f>
      </x:c>
      <x:c r="E14" s="67" t="str">
        <x:f>IF(B14="","",MAX(0,'Quick Compare'!B260-'Quick Compare'!B259))</x:f>
      </x:c>
      <x:c r="F14" s="67" t="str">
        <x:f>IF(B14="","",'Quick Compare'!B261)</x:f>
      </x:c>
      <x:c r="G14" s="67" t="str">
        <x:f>IF(B14="","",'Quick Compare'!B262)</x:f>
      </x:c>
      <x:c r="H14" s="67"/>
      <x:c r="I14" s="67"/>
      <x:c r="J14" s="67" t="str">
        <x:f>IF(B14="","",IF(MAX((COUNTIF('Quick Compare'!D248:D255,"Homepage")+COUNTIF('Quick Compare'!H248:H255,"Homepage")),(COUNTIF('Quick Compare'!D248:D255,"Service page")+COUNTIF('Quick Compare'!H248:H255,"Service page")),(COUNTIF('Quick Compare'!D248:D255,"Location page")+COUNTIF('Quick Compare'!H248:H255,"Location page")),(COUNTIF('Quick Compare'!D248:D255,"Directory")+COUNTIF('Quick Compare'!H248:H255,"Directory")),(COUNTIF('Quick Compare'!D248:D255,"Blog/FAQ")+COUNTIF('Quick Compare'!H248:H255,"Blog/FAQ")),(COUNTIF('Quick Compare'!D248:D255,"Portfolio/Gallery")+COUNTIF('Quick Compare'!H248:H255,"Portfolio/Gallery")),(COUNTIF('Quick Compare'!D248:D255,"About page")+COUNTIF('Quick Compare'!H248:H255,"About page")),(COUNTIF('Quick Compare'!D248:D255,"Other")+COUNTIF('Quick Compare'!H248:H255,"Other")))=0,"",IF((--((COUNTIF('Quick Compare'!D248:D255,"Homepage")+COUNTIF('Quick Compare'!H248:H255,"Homepage"))=MAX((COUNTIF('Quick Compare'!D248:D255,"Homepage")+COUNTIF('Quick Compare'!H248:H255,"Homepage")),(COUNTIF('Quick Compare'!D248:D255,"Service page")+COUNTIF('Quick Compare'!H248:H255,"Service page")),(COUNTIF('Quick Compare'!D248:D255,"Location page")+COUNTIF('Quick Compare'!H248:H255,"Location page")),(COUNTIF('Quick Compare'!D248:D255,"Directory")+COUNTIF('Quick Compare'!H248:H255,"Directory")),(COUNTIF('Quick Compare'!D248:D255,"Blog/FAQ")+COUNTIF('Quick Compare'!H248:H255,"Blog/FAQ")),(COUNTIF('Quick Compare'!D248:D255,"Portfolio/Gallery")+COUNTIF('Quick Compare'!H248:H255,"Portfolio/Gallery")),(COUNTIF('Quick Compare'!D248:D255,"About page")+COUNTIF('Quick Compare'!H248:H255,"About page")),(COUNTIF('Quick Compare'!D248:D255,"Other")+COUNTIF('Quick Compare'!H248:H255,"Other"))))+--((COUNTIF('Quick Compare'!D248:D255,"Service page")+COUNTIF('Quick Compare'!H248:H255,"Service page"))=MAX((COUNTIF('Quick Compare'!D248:D255,"Homepage")+COUNTIF('Quick Compare'!H248:H255,"Homepage")),(COUNTIF('Quick Compare'!D248:D255,"Service page")+COUNTIF('Quick Compare'!H248:H255,"Service page")),(COUNTIF('Quick Compare'!D248:D255,"Location page")+COUNTIF('Quick Compare'!H248:H255,"Location page")),(COUNTIF('Quick Compare'!D248:D255,"Directory")+COUNTIF('Quick Compare'!H248:H255,"Directory")),(COUNTIF('Quick Compare'!D248:D255,"Blog/FAQ")+COUNTIF('Quick Compare'!H248:H255,"Blog/FAQ")),(COUNTIF('Quick Compare'!D248:D255,"Portfolio/Gallery")+COUNTIF('Quick Compare'!H248:H255,"Portfolio/Gallery")),(COUNTIF('Quick Compare'!D248:D255,"About page")+COUNTIF('Quick Compare'!H248:H255,"About page")),(COUNTIF('Quick Compare'!D248:D255,"Other")+COUNTIF('Quick Compare'!H248:H255,"Other"))))+--((COUNTIF('Quick Compare'!D248:D255,"Location page")+COUNTIF('Quick Compare'!H248:H255,"Location page"))=MAX((COUNTIF('Quick Compare'!D248:D255,"Homepage")+COUNTIF('Quick Compare'!H248:H255,"Homepage")),(COUNTIF('Quick Compare'!D248:D255,"Service page")+COUNTIF('Quick Compare'!H248:H255,"Service page")),(COUNTIF('Quick Compare'!D248:D255,"Location page")+COUNTIF('Quick Compare'!H248:H255,"Location page")),(COUNTIF('Quick Compare'!D248:D255,"Directory")+COUNTIF('Quick Compare'!H248:H255,"Directory")),(COUNTIF('Quick Compare'!D248:D255,"Blog/FAQ")+COUNTIF('Quick Compare'!H248:H255,"Blog/FAQ")),(COUNTIF('Quick Compare'!D248:D255,"Portfolio/Gallery")+COUNTIF('Quick Compare'!H248:H255,"Portfolio/Gallery")),(COUNTIF('Quick Compare'!D248:D255,"About page")+COUNTIF('Quick Compare'!H248:H255,"About page")),(COUNTIF('Quick Compare'!D248:D255,"Other")+COUNTIF('Quick Compare'!H248:H255,"Other"))))+--((COUNTIF('Quick Compare'!D248:D255,"Directory")+COUNTIF('Quick Compare'!H248:H255,"Directory"))=MAX((COUNTIF('Quick Compare'!D248:D255,"Homepage")+COUNTIF('Quick Compare'!H248:H255,"Homepage")),(COUNTIF('Quick Compare'!D248:D255,"Service page")+COUNTIF('Quick Compare'!H248:H255,"Service page")),(COUNTIF('Quick Compare'!D248:D255,"Location page")+COUNTIF('Quick Compare'!H248:H255,"Location page")),(COUNTIF('Quick Compare'!D248:D255,"Directory")+COUNTIF('Quick Compare'!H248:H255,"Directory")),(COUNTIF('Quick Compare'!D248:D255,"Blog/FAQ")+COUNTIF('Quick Compare'!H248:H255,"Blog/FAQ")),(COUNTIF('Quick Compare'!D248:D255,"Portfolio/Gallery")+COUNTIF('Quick Compare'!H248:H255,"Portfolio/Gallery")),(COUNTIF('Quick Compare'!D248:D255,"About page")+COUNTIF('Quick Compare'!H248:H255,"About page")),(COUNTIF('Quick Compare'!D248:D255,"Other")+COUNTIF('Quick Compare'!H248:H255,"Other"))))+--((COUNTIF('Quick Compare'!D248:D255,"Blog/FAQ")+COUNTIF('Quick Compare'!H248:H255,"Blog/FAQ"))=MAX((COUNTIF('Quick Compare'!D248:D255,"Homepage")+COUNTIF('Quick Compare'!H248:H255,"Homepage")),(COUNTIF('Quick Compare'!D248:D255,"Service page")+COUNTIF('Quick Compare'!H248:H255,"Service page")),(COUNTIF('Quick Compare'!D248:D255,"Location page")+COUNTIF('Quick Compare'!H248:H255,"Location page")),(COUNTIF('Quick Compare'!D248:D255,"Directory")+COUNTIF('Quick Compare'!H248:H255,"Directory")),(COUNTIF('Quick Compare'!D248:D255,"Blog/FAQ")+COUNTIF('Quick Compare'!H248:H255,"Blog/FAQ")),(COUNTIF('Quick Compare'!D248:D255,"Portfolio/Gallery")+COUNTIF('Quick Compare'!H248:H255,"Portfolio/Gallery")),(COUNTIF('Quick Compare'!D248:D255,"About page")+COUNTIF('Quick Compare'!H248:H255,"About page")),(COUNTIF('Quick Compare'!D248:D255,"Other")+COUNTIF('Quick Compare'!H248:H255,"Other"))))+--((COUNTIF('Quick Compare'!D248:D255,"Portfolio/Gallery")+COUNTIF('Quick Compare'!H248:H255,"Portfolio/Gallery"))=MAX((COUNTIF('Quick Compare'!D248:D255,"Homepage")+COUNTIF('Quick Compare'!H248:H255,"Homepage")),(COUNTIF('Quick Compare'!D248:D255,"Service page")+COUNTIF('Quick Compare'!H248:H255,"Service page")),(COUNTIF('Quick Compare'!D248:D255,"Location page")+COUNTIF('Quick Compare'!H248:H255,"Location page")),(COUNTIF('Quick Compare'!D248:D255,"Directory")+COUNTIF('Quick Compare'!H248:H255,"Directory")),(COUNTIF('Quick Compare'!D248:D255,"Blog/FAQ")+COUNTIF('Quick Compare'!H248:H255,"Blog/FAQ")),(COUNTIF('Quick Compare'!D248:D255,"Portfolio/Gallery")+COUNTIF('Quick Compare'!H248:H255,"Portfolio/Gallery")),(COUNTIF('Quick Compare'!D248:D255,"About page")+COUNTIF('Quick Compare'!H248:H255,"About page")),(COUNTIF('Quick Compare'!D248:D255,"Other")+COUNTIF('Quick Compare'!H248:H255,"Other"))))+--((COUNTIF('Quick Compare'!D248:D255,"About page")+COUNTIF('Quick Compare'!H248:H255,"About page"))=MAX((COUNTIF('Quick Compare'!D248:D255,"Homepage")+COUNTIF('Quick Compare'!H248:H255,"Homepage")),(COUNTIF('Quick Compare'!D248:D255,"Service page")+COUNTIF('Quick Compare'!H248:H255,"Service page")),(COUNTIF('Quick Compare'!D248:D255,"Location page")+COUNTIF('Quick Compare'!H248:H255,"Location page")),(COUNTIF('Quick Compare'!D248:D255,"Directory")+COUNTIF('Quick Compare'!H248:H255,"Directory")),(COUNTIF('Quick Compare'!D248:D255,"Blog/FAQ")+COUNTIF('Quick Compare'!H248:H255,"Blog/FAQ")),(COUNTIF('Quick Compare'!D248:D255,"Portfolio/Gallery")+COUNTIF('Quick Compare'!H248:H255,"Portfolio/Gallery")),(COUNTIF('Quick Compare'!D248:D255,"About page")+COUNTIF('Quick Compare'!H248:H255,"About page")),(COUNTIF('Quick Compare'!D248:D255,"Other")+COUNTIF('Quick Compare'!H248:H255,"Other"))))+--((COUNTIF('Quick Compare'!D248:D255,"Other")+COUNTIF('Quick Compare'!H248:H255,"Other"))=MAX((COUNTIF('Quick Compare'!D248:D255,"Homepage")+COUNTIF('Quick Compare'!H248:H255,"Homepage")),(COUNTIF('Quick Compare'!D248:D255,"Service page")+COUNTIF('Quick Compare'!H248:H255,"Service page")),(COUNTIF('Quick Compare'!D248:D255,"Location page")+COUNTIF('Quick Compare'!H248:H255,"Location page")),(COUNTIF('Quick Compare'!D248:D255,"Directory")+COUNTIF('Quick Compare'!H248:H255,"Directory")),(COUNTIF('Quick Compare'!D248:D255,"Blog/FAQ")+COUNTIF('Quick Compare'!H248:H255,"Blog/FAQ")),(COUNTIF('Quick Compare'!D248:D255,"Portfolio/Gallery")+COUNTIF('Quick Compare'!H248:H255,"Portfolio/Gallery")),(COUNTIF('Quick Compare'!D248:D255,"About page")+COUNTIF('Quick Compare'!H248:H255,"About page")),(COUNTIF('Quick Compare'!D248:D255,"Other")+COUNTIF('Quick Compare'!H248:H255,"Other")))))&gt;1,"Tie / review",IF((COUNTIF('Quick Compare'!D248:D255,"Homepage")+COUNTIF('Quick Compare'!H248:H255,"Homepage"))=MAX((COUNTIF('Quick Compare'!D248:D255,"Homepage")+COUNTIF('Quick Compare'!H248:H255,"Homepage")),(COUNTIF('Quick Compare'!D248:D255,"Service page")+COUNTIF('Quick Compare'!H248:H255,"Service page")),(COUNTIF('Quick Compare'!D248:D255,"Location page")+COUNTIF('Quick Compare'!H248:H255,"Location page")),(COUNTIF('Quick Compare'!D248:D255,"Directory")+COUNTIF('Quick Compare'!H248:H255,"Directory")),(COUNTIF('Quick Compare'!D248:D255,"Blog/FAQ")+COUNTIF('Quick Compare'!H248:H255,"Blog/FAQ")),(COUNTIF('Quick Compare'!D248:D255,"Portfolio/Gallery")+COUNTIF('Quick Compare'!H248:H255,"Portfolio/Gallery")),(COUNTIF('Quick Compare'!D248:D255,"About page")+COUNTIF('Quick Compare'!H248:H255,"About page")),(COUNTIF('Quick Compare'!D248:D255,"Other")+COUNTIF('Quick Compare'!H248:H255,"Other"))),"Homepage",IF((COUNTIF('Quick Compare'!D248:D255,"Service page")+COUNTIF('Quick Compare'!H248:H255,"Service page"))=MAX((COUNTIF('Quick Compare'!D248:D255,"Homepage")+COUNTIF('Quick Compare'!H248:H255,"Homepage")),(COUNTIF('Quick Compare'!D248:D255,"Service page")+COUNTIF('Quick Compare'!H248:H255,"Service page")),(COUNTIF('Quick Compare'!D248:D255,"Location page")+COUNTIF('Quick Compare'!H248:H255,"Location page")),(COUNTIF('Quick Compare'!D248:D255,"Directory")+COUNTIF('Quick Compare'!H248:H255,"Directory")),(COUNTIF('Quick Compare'!D248:D255,"Blog/FAQ")+COUNTIF('Quick Compare'!H248:H255,"Blog/FAQ")),(COUNTIF('Quick Compare'!D248:D255,"Portfolio/Gallery")+COUNTIF('Quick Compare'!H248:H255,"Portfolio/Gallery")),(COUNTIF('Quick Compare'!D248:D255,"About page")+COUNTIF('Quick Compare'!H248:H255,"About page")),(COUNTIF('Quick Compare'!D248:D255,"Other")+COUNTIF('Quick Compare'!H248:H255,"Other"))),"Service page",IF((COUNTIF('Quick Compare'!D248:D255,"Location page")+COUNTIF('Quick Compare'!H248:H255,"Location page"))=MAX((COUNTIF('Quick Compare'!D248:D255,"Homepage")+COUNTIF('Quick Compare'!H248:H255,"Homepage")),(COUNTIF('Quick Compare'!D248:D255,"Service page")+COUNTIF('Quick Compare'!H248:H255,"Service page")),(COUNTIF('Quick Compare'!D248:D255,"Location page")+COUNTIF('Quick Compare'!H248:H255,"Location page")),(COUNTIF('Quick Compare'!D248:D255,"Directory")+COUNTIF('Quick Compare'!H248:H255,"Directory")),(COUNTIF('Quick Compare'!D248:D255,"Blog/FAQ")+COUNTIF('Quick Compare'!H248:H255,"Blog/FAQ")),(COUNTIF('Quick Compare'!D248:D255,"Portfolio/Gallery")+COUNTIF('Quick Compare'!H248:H255,"Portfolio/Gallery")),(COUNTIF('Quick Compare'!D248:D255,"About page")+COUNTIF('Quick Compare'!H248:H255,"About page")),(COUNTIF('Quick Compare'!D248:D255,"Other")+COUNTIF('Quick Compare'!H248:H255,"Other"))),"Location page",IF((COUNTIF('Quick Compare'!D248:D255,"Directory")+COUNTIF('Quick Compare'!H248:H255,"Directory"))=MAX((COUNTIF('Quick Compare'!D248:D255,"Homepage")+COUNTIF('Quick Compare'!H248:H255,"Homepage")),(COUNTIF('Quick Compare'!D248:D255,"Service page")+COUNTIF('Quick Compare'!H248:H255,"Service page")),(COUNTIF('Quick Compare'!D248:D255,"Location page")+COUNTIF('Quick Compare'!H248:H255,"Location page")),(COUNTIF('Quick Compare'!D248:D255,"Directory")+COUNTIF('Quick Compare'!H248:H255,"Directory")),(COUNTIF('Quick Compare'!D248:D255,"Blog/FAQ")+COUNTIF('Quick Compare'!H248:H255,"Blog/FAQ")),(COUNTIF('Quick Compare'!D248:D255,"Portfolio/Gallery")+COUNTIF('Quick Compare'!H248:H255,"Portfolio/Gallery")),(COUNTIF('Quick Compare'!D248:D255,"About page")+COUNTIF('Quick Compare'!H248:H255,"About page")),(COUNTIF('Quick Compare'!D248:D255,"Other")+COUNTIF('Quick Compare'!H248:H255,"Other"))),"Directory",IF((COUNTIF('Quick Compare'!D248:D255,"Blog/FAQ")+COUNTIF('Quick Compare'!H248:H255,"Blog/FAQ"))=MAX((COUNTIF('Quick Compare'!D248:D255,"Homepage")+COUNTIF('Quick Compare'!H248:H255,"Homepage")),(COUNTIF('Quick Compare'!D248:D255,"Service page")+COUNTIF('Quick Compare'!H248:H255,"Service page")),(COUNTIF('Quick Compare'!D248:D255,"Location page")+COUNTIF('Quick Compare'!H248:H255,"Location page")),(COUNTIF('Quick Compare'!D248:D255,"Directory")+COUNTIF('Quick Compare'!H248:H255,"Directory")),(COUNTIF('Quick Compare'!D248:D255,"Blog/FAQ")+COUNTIF('Quick Compare'!H248:H255,"Blog/FAQ")),(COUNTIF('Quick Compare'!D248:D255,"Portfolio/Gallery")+COUNTIF('Quick Compare'!H248:H255,"Portfolio/Gallery")),(COUNTIF('Quick Compare'!D248:D255,"About page")+COUNTIF('Quick Compare'!H248:H255,"About page")),(COUNTIF('Quick Compare'!D248:D255,"Other")+COUNTIF('Quick Compare'!H248:H255,"Other"))),"Blog/FAQ",IF((COUNTIF('Quick Compare'!D248:D255,"Portfolio/Gallery")+COUNTIF('Quick Compare'!H248:H255,"Portfolio/Gallery"))=MAX((COUNTIF('Quick Compare'!D248:D255,"Homepage")+COUNTIF('Quick Compare'!H248:H255,"Homepage")),(COUNTIF('Quick Compare'!D248:D255,"Service page")+COUNTIF('Quick Compare'!H248:H255,"Service page")),(COUNTIF('Quick Compare'!D248:D255,"Location page")+COUNTIF('Quick Compare'!H248:H255,"Location page")),(COUNTIF('Quick Compare'!D248:D255,"Directory")+COUNTIF('Quick Compare'!H248:H255,"Directory")),(COUNTIF('Quick Compare'!D248:D255,"Blog/FAQ")+COUNTIF('Quick Compare'!H248:H255,"Blog/FAQ")),(COUNTIF('Quick Compare'!D248:D255,"Portfolio/Gallery")+COUNTIF('Quick Compare'!H248:H255,"Portfolio/Gallery")),(COUNTIF('Quick Compare'!D248:D255,"About page")+COUNTIF('Quick Compare'!H248:H255,"About page")),(COUNTIF('Quick Compare'!D248:D255,"Other")+COUNTIF('Quick Compare'!H248:H255,"Other"))),"Portfolio/Gallery",IF((COUNTIF('Quick Compare'!D248:D255,"About page")+COUNTIF('Quick Compare'!H248:H255,"About page"))=MAX((COUNTIF('Quick Compare'!D248:D255,"Homepage")+COUNTIF('Quick Compare'!H248:H255,"Homepage")),(COUNTIF('Quick Compare'!D248:D255,"Service page")+COUNTIF('Quick Compare'!H248:H255,"Service page")),(COUNTIF('Quick Compare'!D248:D255,"Location page")+COUNTIF('Quick Compare'!H248:H255,"Location page")),(COUNTIF('Quick Compare'!D248:D255,"Directory")+COUNTIF('Quick Compare'!H248:H255,"Directory")),(COUNTIF('Quick Compare'!D248:D255,"Blog/FAQ")+COUNTIF('Quick Compare'!H248:H255,"Blog/FAQ")),(COUNTIF('Quick Compare'!D248:D255,"Portfolio/Gallery")+COUNTIF('Quick Compare'!H248:H255,"Portfolio/Gallery")),(COUNTIF('Quick Compare'!D248:D255,"About page")+COUNTIF('Quick Compare'!H248:H255,"About page")),(COUNTIF('Quick Compare'!D248:D255,"Other")+COUNTIF('Quick Compare'!H248:H255,"Other"))),"About page","Other"))))))))))</x:f>
      </x:c>
      <x:c r="K14" s="67"/>
      <x:c r="L14" s="67"/>
    </x:row>
    <x:row r="15">
      <x:c r="A15" s="67" t="str">
        <x:f>IF('Quick Compare'!B266="","",'Quick Compare'!B266)</x:f>
      </x:c>
      <x:c r="B15" s="67" t="str">
        <x:f>IF('Quick Compare'!B267="","",'Quick Compare'!B267)</x:f>
      </x:c>
      <x:c r="C15" s="67" t="str">
        <x:f>IF('Quick Compare'!B268="","",'Quick Compare'!B268)</x:f>
      </x:c>
      <x:c r="D15" s="67" t="str">
        <x:f>IF(B15="","",'Quick Compare'!B283)</x:f>
      </x:c>
      <x:c r="E15" s="67" t="str">
        <x:f>IF(B15="","",MAX(0,'Quick Compare'!B284-'Quick Compare'!B283))</x:f>
      </x:c>
      <x:c r="F15" s="67" t="str">
        <x:f>IF(B15="","",'Quick Compare'!B285)</x:f>
      </x:c>
      <x:c r="G15" s="67" t="str">
        <x:f>IF(B15="","",'Quick Compare'!B286)</x:f>
      </x:c>
      <x:c r="H15" s="67"/>
      <x:c r="I15" s="67"/>
      <x:c r="J15" s="67" t="str">
        <x:f>IF(B15="","",IF(MAX((COUNTIF('Quick Compare'!D272:D279,"Homepage")+COUNTIF('Quick Compare'!H272:H279,"Homepage")),(COUNTIF('Quick Compare'!D272:D279,"Service page")+COUNTIF('Quick Compare'!H272:H279,"Service page")),(COUNTIF('Quick Compare'!D272:D279,"Location page")+COUNTIF('Quick Compare'!H272:H279,"Location page")),(COUNTIF('Quick Compare'!D272:D279,"Directory")+COUNTIF('Quick Compare'!H272:H279,"Directory")),(COUNTIF('Quick Compare'!D272:D279,"Blog/FAQ")+COUNTIF('Quick Compare'!H272:H279,"Blog/FAQ")),(COUNTIF('Quick Compare'!D272:D279,"Portfolio/Gallery")+COUNTIF('Quick Compare'!H272:H279,"Portfolio/Gallery")),(COUNTIF('Quick Compare'!D272:D279,"About page")+COUNTIF('Quick Compare'!H272:H279,"About page")),(COUNTIF('Quick Compare'!D272:D279,"Other")+COUNTIF('Quick Compare'!H272:H279,"Other")))=0,"",IF((--((COUNTIF('Quick Compare'!D272:D279,"Homepage")+COUNTIF('Quick Compare'!H272:H279,"Homepage"))=MAX((COUNTIF('Quick Compare'!D272:D279,"Homepage")+COUNTIF('Quick Compare'!H272:H279,"Homepage")),(COUNTIF('Quick Compare'!D272:D279,"Service page")+COUNTIF('Quick Compare'!H272:H279,"Service page")),(COUNTIF('Quick Compare'!D272:D279,"Location page")+COUNTIF('Quick Compare'!H272:H279,"Location page")),(COUNTIF('Quick Compare'!D272:D279,"Directory")+COUNTIF('Quick Compare'!H272:H279,"Directory")),(COUNTIF('Quick Compare'!D272:D279,"Blog/FAQ")+COUNTIF('Quick Compare'!H272:H279,"Blog/FAQ")),(COUNTIF('Quick Compare'!D272:D279,"Portfolio/Gallery")+COUNTIF('Quick Compare'!H272:H279,"Portfolio/Gallery")),(COUNTIF('Quick Compare'!D272:D279,"About page")+COUNTIF('Quick Compare'!H272:H279,"About page")),(COUNTIF('Quick Compare'!D272:D279,"Other")+COUNTIF('Quick Compare'!H272:H279,"Other"))))+--((COUNTIF('Quick Compare'!D272:D279,"Service page")+COUNTIF('Quick Compare'!H272:H279,"Service page"))=MAX((COUNTIF('Quick Compare'!D272:D279,"Homepage")+COUNTIF('Quick Compare'!H272:H279,"Homepage")),(COUNTIF('Quick Compare'!D272:D279,"Service page")+COUNTIF('Quick Compare'!H272:H279,"Service page")),(COUNTIF('Quick Compare'!D272:D279,"Location page")+COUNTIF('Quick Compare'!H272:H279,"Location page")),(COUNTIF('Quick Compare'!D272:D279,"Directory")+COUNTIF('Quick Compare'!H272:H279,"Directory")),(COUNTIF('Quick Compare'!D272:D279,"Blog/FAQ")+COUNTIF('Quick Compare'!H272:H279,"Blog/FAQ")),(COUNTIF('Quick Compare'!D272:D279,"Portfolio/Gallery")+COUNTIF('Quick Compare'!H272:H279,"Portfolio/Gallery")),(COUNTIF('Quick Compare'!D272:D279,"About page")+COUNTIF('Quick Compare'!H272:H279,"About page")),(COUNTIF('Quick Compare'!D272:D279,"Other")+COUNTIF('Quick Compare'!H272:H279,"Other"))))+--((COUNTIF('Quick Compare'!D272:D279,"Location page")+COUNTIF('Quick Compare'!H272:H279,"Location page"))=MAX((COUNTIF('Quick Compare'!D272:D279,"Homepage")+COUNTIF('Quick Compare'!H272:H279,"Homepage")),(COUNTIF('Quick Compare'!D272:D279,"Service page")+COUNTIF('Quick Compare'!H272:H279,"Service page")),(COUNTIF('Quick Compare'!D272:D279,"Location page")+COUNTIF('Quick Compare'!H272:H279,"Location page")),(COUNTIF('Quick Compare'!D272:D279,"Directory")+COUNTIF('Quick Compare'!H272:H279,"Directory")),(COUNTIF('Quick Compare'!D272:D279,"Blog/FAQ")+COUNTIF('Quick Compare'!H272:H279,"Blog/FAQ")),(COUNTIF('Quick Compare'!D272:D279,"Portfolio/Gallery")+COUNTIF('Quick Compare'!H272:H279,"Portfolio/Gallery")),(COUNTIF('Quick Compare'!D272:D279,"About page")+COUNTIF('Quick Compare'!H272:H279,"About page")),(COUNTIF('Quick Compare'!D272:D279,"Other")+COUNTIF('Quick Compare'!H272:H279,"Other"))))+--((COUNTIF('Quick Compare'!D272:D279,"Directory")+COUNTIF('Quick Compare'!H272:H279,"Directory"))=MAX((COUNTIF('Quick Compare'!D272:D279,"Homepage")+COUNTIF('Quick Compare'!H272:H279,"Homepage")),(COUNTIF('Quick Compare'!D272:D279,"Service page")+COUNTIF('Quick Compare'!H272:H279,"Service page")),(COUNTIF('Quick Compare'!D272:D279,"Location page")+COUNTIF('Quick Compare'!H272:H279,"Location page")),(COUNTIF('Quick Compare'!D272:D279,"Directory")+COUNTIF('Quick Compare'!H272:H279,"Directory")),(COUNTIF('Quick Compare'!D272:D279,"Blog/FAQ")+COUNTIF('Quick Compare'!H272:H279,"Blog/FAQ")),(COUNTIF('Quick Compare'!D272:D279,"Portfolio/Gallery")+COUNTIF('Quick Compare'!H272:H279,"Portfolio/Gallery")),(COUNTIF('Quick Compare'!D272:D279,"About page")+COUNTIF('Quick Compare'!H272:H279,"About page")),(COUNTIF('Quick Compare'!D272:D279,"Other")+COUNTIF('Quick Compare'!H272:H279,"Other"))))+--((COUNTIF('Quick Compare'!D272:D279,"Blog/FAQ")+COUNTIF('Quick Compare'!H272:H279,"Blog/FAQ"))=MAX((COUNTIF('Quick Compare'!D272:D279,"Homepage")+COUNTIF('Quick Compare'!H272:H279,"Homepage")),(COUNTIF('Quick Compare'!D272:D279,"Service page")+COUNTIF('Quick Compare'!H272:H279,"Service page")),(COUNTIF('Quick Compare'!D272:D279,"Location page")+COUNTIF('Quick Compare'!H272:H279,"Location page")),(COUNTIF('Quick Compare'!D272:D279,"Directory")+COUNTIF('Quick Compare'!H272:H279,"Directory")),(COUNTIF('Quick Compare'!D272:D279,"Blog/FAQ")+COUNTIF('Quick Compare'!H272:H279,"Blog/FAQ")),(COUNTIF('Quick Compare'!D272:D279,"Portfolio/Gallery")+COUNTIF('Quick Compare'!H272:H279,"Portfolio/Gallery")),(COUNTIF('Quick Compare'!D272:D279,"About page")+COUNTIF('Quick Compare'!H272:H279,"About page")),(COUNTIF('Quick Compare'!D272:D279,"Other")+COUNTIF('Quick Compare'!H272:H279,"Other"))))+--((COUNTIF('Quick Compare'!D272:D279,"Portfolio/Gallery")+COUNTIF('Quick Compare'!H272:H279,"Portfolio/Gallery"))=MAX((COUNTIF('Quick Compare'!D272:D279,"Homepage")+COUNTIF('Quick Compare'!H272:H279,"Homepage")),(COUNTIF('Quick Compare'!D272:D279,"Service page")+COUNTIF('Quick Compare'!H272:H279,"Service page")),(COUNTIF('Quick Compare'!D272:D279,"Location page")+COUNTIF('Quick Compare'!H272:H279,"Location page")),(COUNTIF('Quick Compare'!D272:D279,"Directory")+COUNTIF('Quick Compare'!H272:H279,"Directory")),(COUNTIF('Quick Compare'!D272:D279,"Blog/FAQ")+COUNTIF('Quick Compare'!H272:H279,"Blog/FAQ")),(COUNTIF('Quick Compare'!D272:D279,"Portfolio/Gallery")+COUNTIF('Quick Compare'!H272:H279,"Portfolio/Gallery")),(COUNTIF('Quick Compare'!D272:D279,"About page")+COUNTIF('Quick Compare'!H272:H279,"About page")),(COUNTIF('Quick Compare'!D272:D279,"Other")+COUNTIF('Quick Compare'!H272:H279,"Other"))))+--((COUNTIF('Quick Compare'!D272:D279,"About page")+COUNTIF('Quick Compare'!H272:H279,"About page"))=MAX((COUNTIF('Quick Compare'!D272:D279,"Homepage")+COUNTIF('Quick Compare'!H272:H279,"Homepage")),(COUNTIF('Quick Compare'!D272:D279,"Service page")+COUNTIF('Quick Compare'!H272:H279,"Service page")),(COUNTIF('Quick Compare'!D272:D279,"Location page")+COUNTIF('Quick Compare'!H272:H279,"Location page")),(COUNTIF('Quick Compare'!D272:D279,"Directory")+COUNTIF('Quick Compare'!H272:H279,"Directory")),(COUNTIF('Quick Compare'!D272:D279,"Blog/FAQ")+COUNTIF('Quick Compare'!H272:H279,"Blog/FAQ")),(COUNTIF('Quick Compare'!D272:D279,"Portfolio/Gallery")+COUNTIF('Quick Compare'!H272:H279,"Portfolio/Gallery")),(COUNTIF('Quick Compare'!D272:D279,"About page")+COUNTIF('Quick Compare'!H272:H279,"About page")),(COUNTIF('Quick Compare'!D272:D279,"Other")+COUNTIF('Quick Compare'!H272:H279,"Other"))))+--((COUNTIF('Quick Compare'!D272:D279,"Other")+COUNTIF('Quick Compare'!H272:H279,"Other"))=MAX((COUNTIF('Quick Compare'!D272:D279,"Homepage")+COUNTIF('Quick Compare'!H272:H279,"Homepage")),(COUNTIF('Quick Compare'!D272:D279,"Service page")+COUNTIF('Quick Compare'!H272:H279,"Service page")),(COUNTIF('Quick Compare'!D272:D279,"Location page")+COUNTIF('Quick Compare'!H272:H279,"Location page")),(COUNTIF('Quick Compare'!D272:D279,"Directory")+COUNTIF('Quick Compare'!H272:H279,"Directory")),(COUNTIF('Quick Compare'!D272:D279,"Blog/FAQ")+COUNTIF('Quick Compare'!H272:H279,"Blog/FAQ")),(COUNTIF('Quick Compare'!D272:D279,"Portfolio/Gallery")+COUNTIF('Quick Compare'!H272:H279,"Portfolio/Gallery")),(COUNTIF('Quick Compare'!D272:D279,"About page")+COUNTIF('Quick Compare'!H272:H279,"About page")),(COUNTIF('Quick Compare'!D272:D279,"Other")+COUNTIF('Quick Compare'!H272:H279,"Other")))))&gt;1,"Tie / review",IF((COUNTIF('Quick Compare'!D272:D279,"Homepage")+COUNTIF('Quick Compare'!H272:H279,"Homepage"))=MAX((COUNTIF('Quick Compare'!D272:D279,"Homepage")+COUNTIF('Quick Compare'!H272:H279,"Homepage")),(COUNTIF('Quick Compare'!D272:D279,"Service page")+COUNTIF('Quick Compare'!H272:H279,"Service page")),(COUNTIF('Quick Compare'!D272:D279,"Location page")+COUNTIF('Quick Compare'!H272:H279,"Location page")),(COUNTIF('Quick Compare'!D272:D279,"Directory")+COUNTIF('Quick Compare'!H272:H279,"Directory")),(COUNTIF('Quick Compare'!D272:D279,"Blog/FAQ")+COUNTIF('Quick Compare'!H272:H279,"Blog/FAQ")),(COUNTIF('Quick Compare'!D272:D279,"Portfolio/Gallery")+COUNTIF('Quick Compare'!H272:H279,"Portfolio/Gallery")),(COUNTIF('Quick Compare'!D272:D279,"About page")+COUNTIF('Quick Compare'!H272:H279,"About page")),(COUNTIF('Quick Compare'!D272:D279,"Other")+COUNTIF('Quick Compare'!H272:H279,"Other"))),"Homepage",IF((COUNTIF('Quick Compare'!D272:D279,"Service page")+COUNTIF('Quick Compare'!H272:H279,"Service page"))=MAX((COUNTIF('Quick Compare'!D272:D279,"Homepage")+COUNTIF('Quick Compare'!H272:H279,"Homepage")),(COUNTIF('Quick Compare'!D272:D279,"Service page")+COUNTIF('Quick Compare'!H272:H279,"Service page")),(COUNTIF('Quick Compare'!D272:D279,"Location page")+COUNTIF('Quick Compare'!H272:H279,"Location page")),(COUNTIF('Quick Compare'!D272:D279,"Directory")+COUNTIF('Quick Compare'!H272:H279,"Directory")),(COUNTIF('Quick Compare'!D272:D279,"Blog/FAQ")+COUNTIF('Quick Compare'!H272:H279,"Blog/FAQ")),(COUNTIF('Quick Compare'!D272:D279,"Portfolio/Gallery")+COUNTIF('Quick Compare'!H272:H279,"Portfolio/Gallery")),(COUNTIF('Quick Compare'!D272:D279,"About page")+COUNTIF('Quick Compare'!H272:H279,"About page")),(COUNTIF('Quick Compare'!D272:D279,"Other")+COUNTIF('Quick Compare'!H272:H279,"Other"))),"Service page",IF((COUNTIF('Quick Compare'!D272:D279,"Location page")+COUNTIF('Quick Compare'!H272:H279,"Location page"))=MAX((COUNTIF('Quick Compare'!D272:D279,"Homepage")+COUNTIF('Quick Compare'!H272:H279,"Homepage")),(COUNTIF('Quick Compare'!D272:D279,"Service page")+COUNTIF('Quick Compare'!H272:H279,"Service page")),(COUNTIF('Quick Compare'!D272:D279,"Location page")+COUNTIF('Quick Compare'!H272:H279,"Location page")),(COUNTIF('Quick Compare'!D272:D279,"Directory")+COUNTIF('Quick Compare'!H272:H279,"Directory")),(COUNTIF('Quick Compare'!D272:D279,"Blog/FAQ")+COUNTIF('Quick Compare'!H272:H279,"Blog/FAQ")),(COUNTIF('Quick Compare'!D272:D279,"Portfolio/Gallery")+COUNTIF('Quick Compare'!H272:H279,"Portfolio/Gallery")),(COUNTIF('Quick Compare'!D272:D279,"About page")+COUNTIF('Quick Compare'!H272:H279,"About page")),(COUNTIF('Quick Compare'!D272:D279,"Other")+COUNTIF('Quick Compare'!H272:H279,"Other"))),"Location page",IF((COUNTIF('Quick Compare'!D272:D279,"Directory")+COUNTIF('Quick Compare'!H272:H279,"Directory"))=MAX((COUNTIF('Quick Compare'!D272:D279,"Homepage")+COUNTIF('Quick Compare'!H272:H279,"Homepage")),(COUNTIF('Quick Compare'!D272:D279,"Service page")+COUNTIF('Quick Compare'!H272:H279,"Service page")),(COUNTIF('Quick Compare'!D272:D279,"Location page")+COUNTIF('Quick Compare'!H272:H279,"Location page")),(COUNTIF('Quick Compare'!D272:D279,"Directory")+COUNTIF('Quick Compare'!H272:H279,"Directory")),(COUNTIF('Quick Compare'!D272:D279,"Blog/FAQ")+COUNTIF('Quick Compare'!H272:H279,"Blog/FAQ")),(COUNTIF('Quick Compare'!D272:D279,"Portfolio/Gallery")+COUNTIF('Quick Compare'!H272:H279,"Portfolio/Gallery")),(COUNTIF('Quick Compare'!D272:D279,"About page")+COUNTIF('Quick Compare'!H272:H279,"About page")),(COUNTIF('Quick Compare'!D272:D279,"Other")+COUNTIF('Quick Compare'!H272:H279,"Other"))),"Directory",IF((COUNTIF('Quick Compare'!D272:D279,"Blog/FAQ")+COUNTIF('Quick Compare'!H272:H279,"Blog/FAQ"))=MAX((COUNTIF('Quick Compare'!D272:D279,"Homepage")+COUNTIF('Quick Compare'!H272:H279,"Homepage")),(COUNTIF('Quick Compare'!D272:D279,"Service page")+COUNTIF('Quick Compare'!H272:H279,"Service page")),(COUNTIF('Quick Compare'!D272:D279,"Location page")+COUNTIF('Quick Compare'!H272:H279,"Location page")),(COUNTIF('Quick Compare'!D272:D279,"Directory")+COUNTIF('Quick Compare'!H272:H279,"Directory")),(COUNTIF('Quick Compare'!D272:D279,"Blog/FAQ")+COUNTIF('Quick Compare'!H272:H279,"Blog/FAQ")),(COUNTIF('Quick Compare'!D272:D279,"Portfolio/Gallery")+COUNTIF('Quick Compare'!H272:H279,"Portfolio/Gallery")),(COUNTIF('Quick Compare'!D272:D279,"About page")+COUNTIF('Quick Compare'!H272:H279,"About page")),(COUNTIF('Quick Compare'!D272:D279,"Other")+COUNTIF('Quick Compare'!H272:H279,"Other"))),"Blog/FAQ",IF((COUNTIF('Quick Compare'!D272:D279,"Portfolio/Gallery")+COUNTIF('Quick Compare'!H272:H279,"Portfolio/Gallery"))=MAX((COUNTIF('Quick Compare'!D272:D279,"Homepage")+COUNTIF('Quick Compare'!H272:H279,"Homepage")),(COUNTIF('Quick Compare'!D272:D279,"Service page")+COUNTIF('Quick Compare'!H272:H279,"Service page")),(COUNTIF('Quick Compare'!D272:D279,"Location page")+COUNTIF('Quick Compare'!H272:H279,"Location page")),(COUNTIF('Quick Compare'!D272:D279,"Directory")+COUNTIF('Quick Compare'!H272:H279,"Directory")),(COUNTIF('Quick Compare'!D272:D279,"Blog/FAQ")+COUNTIF('Quick Compare'!H272:H279,"Blog/FAQ")),(COUNTIF('Quick Compare'!D272:D279,"Portfolio/Gallery")+COUNTIF('Quick Compare'!H272:H279,"Portfolio/Gallery")),(COUNTIF('Quick Compare'!D272:D279,"About page")+COUNTIF('Quick Compare'!H272:H279,"About page")),(COUNTIF('Quick Compare'!D272:D279,"Other")+COUNTIF('Quick Compare'!H272:H279,"Other"))),"Portfolio/Gallery",IF((COUNTIF('Quick Compare'!D272:D279,"About page")+COUNTIF('Quick Compare'!H272:H279,"About page"))=MAX((COUNTIF('Quick Compare'!D272:D279,"Homepage")+COUNTIF('Quick Compare'!H272:H279,"Homepage")),(COUNTIF('Quick Compare'!D272:D279,"Service page")+COUNTIF('Quick Compare'!H272:H279,"Service page")),(COUNTIF('Quick Compare'!D272:D279,"Location page")+COUNTIF('Quick Compare'!H272:H279,"Location page")),(COUNTIF('Quick Compare'!D272:D279,"Directory")+COUNTIF('Quick Compare'!H272:H279,"Directory")),(COUNTIF('Quick Compare'!D272:D279,"Blog/FAQ")+COUNTIF('Quick Compare'!H272:H279,"Blog/FAQ")),(COUNTIF('Quick Compare'!D272:D279,"Portfolio/Gallery")+COUNTIF('Quick Compare'!H272:H279,"Portfolio/Gallery")),(COUNTIF('Quick Compare'!D272:D279,"About page")+COUNTIF('Quick Compare'!H272:H279,"About page")),(COUNTIF('Quick Compare'!D272:D279,"Other")+COUNTIF('Quick Compare'!H272:H279,"Other"))),"About page","Other"))))))))))</x:f>
      </x:c>
      <x:c r="K15" s="67"/>
      <x:c r="L15" s="67"/>
    </x:row>
    <x:row r="16">
      <x:c r="A16" s="67" t="str">
        <x:f>IF('Quick Compare'!B290="","",'Quick Compare'!B290)</x:f>
      </x:c>
      <x:c r="B16" s="67" t="str">
        <x:f>IF('Quick Compare'!B291="","",'Quick Compare'!B291)</x:f>
      </x:c>
      <x:c r="C16" s="67" t="str">
        <x:f>IF('Quick Compare'!B292="","",'Quick Compare'!B292)</x:f>
      </x:c>
      <x:c r="D16" s="67" t="str">
        <x:f>IF(B16="","",'Quick Compare'!B307)</x:f>
      </x:c>
      <x:c r="E16" s="67" t="str">
        <x:f>IF(B16="","",MAX(0,'Quick Compare'!B308-'Quick Compare'!B307))</x:f>
      </x:c>
      <x:c r="F16" s="67" t="str">
        <x:f>IF(B16="","",'Quick Compare'!B309)</x:f>
      </x:c>
      <x:c r="G16" s="67" t="str">
        <x:f>IF(B16="","",'Quick Compare'!B310)</x:f>
      </x:c>
      <x:c r="H16" s="67"/>
      <x:c r="I16" s="67"/>
      <x:c r="J16" s="67" t="str">
        <x:f>IF(B16="","",IF(MAX((COUNTIF('Quick Compare'!D296:D303,"Homepage")+COUNTIF('Quick Compare'!H296:H303,"Homepage")),(COUNTIF('Quick Compare'!D296:D303,"Service page")+COUNTIF('Quick Compare'!H296:H303,"Service page")),(COUNTIF('Quick Compare'!D296:D303,"Location page")+COUNTIF('Quick Compare'!H296:H303,"Location page")),(COUNTIF('Quick Compare'!D296:D303,"Directory")+COUNTIF('Quick Compare'!H296:H303,"Directory")),(COUNTIF('Quick Compare'!D296:D303,"Blog/FAQ")+COUNTIF('Quick Compare'!H296:H303,"Blog/FAQ")),(COUNTIF('Quick Compare'!D296:D303,"Portfolio/Gallery")+COUNTIF('Quick Compare'!H296:H303,"Portfolio/Gallery")),(COUNTIF('Quick Compare'!D296:D303,"About page")+COUNTIF('Quick Compare'!H296:H303,"About page")),(COUNTIF('Quick Compare'!D296:D303,"Other")+COUNTIF('Quick Compare'!H296:H303,"Other")))=0,"",IF((--((COUNTIF('Quick Compare'!D296:D303,"Homepage")+COUNTIF('Quick Compare'!H296:H303,"Homepage"))=MAX((COUNTIF('Quick Compare'!D296:D303,"Homepage")+COUNTIF('Quick Compare'!H296:H303,"Homepage")),(COUNTIF('Quick Compare'!D296:D303,"Service page")+COUNTIF('Quick Compare'!H296:H303,"Service page")),(COUNTIF('Quick Compare'!D296:D303,"Location page")+COUNTIF('Quick Compare'!H296:H303,"Location page")),(COUNTIF('Quick Compare'!D296:D303,"Directory")+COUNTIF('Quick Compare'!H296:H303,"Directory")),(COUNTIF('Quick Compare'!D296:D303,"Blog/FAQ")+COUNTIF('Quick Compare'!H296:H303,"Blog/FAQ")),(COUNTIF('Quick Compare'!D296:D303,"Portfolio/Gallery")+COUNTIF('Quick Compare'!H296:H303,"Portfolio/Gallery")),(COUNTIF('Quick Compare'!D296:D303,"About page")+COUNTIF('Quick Compare'!H296:H303,"About page")),(COUNTIF('Quick Compare'!D296:D303,"Other")+COUNTIF('Quick Compare'!H296:H303,"Other"))))+--((COUNTIF('Quick Compare'!D296:D303,"Service page")+COUNTIF('Quick Compare'!H296:H303,"Service page"))=MAX((COUNTIF('Quick Compare'!D296:D303,"Homepage")+COUNTIF('Quick Compare'!H296:H303,"Homepage")),(COUNTIF('Quick Compare'!D296:D303,"Service page")+COUNTIF('Quick Compare'!H296:H303,"Service page")),(COUNTIF('Quick Compare'!D296:D303,"Location page")+COUNTIF('Quick Compare'!H296:H303,"Location page")),(COUNTIF('Quick Compare'!D296:D303,"Directory")+COUNTIF('Quick Compare'!H296:H303,"Directory")),(COUNTIF('Quick Compare'!D296:D303,"Blog/FAQ")+COUNTIF('Quick Compare'!H296:H303,"Blog/FAQ")),(COUNTIF('Quick Compare'!D296:D303,"Portfolio/Gallery")+COUNTIF('Quick Compare'!H296:H303,"Portfolio/Gallery")),(COUNTIF('Quick Compare'!D296:D303,"About page")+COUNTIF('Quick Compare'!H296:H303,"About page")),(COUNTIF('Quick Compare'!D296:D303,"Other")+COUNTIF('Quick Compare'!H296:H303,"Other"))))+--((COUNTIF('Quick Compare'!D296:D303,"Location page")+COUNTIF('Quick Compare'!H296:H303,"Location page"))=MAX((COUNTIF('Quick Compare'!D296:D303,"Homepage")+COUNTIF('Quick Compare'!H296:H303,"Homepage")),(COUNTIF('Quick Compare'!D296:D303,"Service page")+COUNTIF('Quick Compare'!H296:H303,"Service page")),(COUNTIF('Quick Compare'!D296:D303,"Location page")+COUNTIF('Quick Compare'!H296:H303,"Location page")),(COUNTIF('Quick Compare'!D296:D303,"Directory")+COUNTIF('Quick Compare'!H296:H303,"Directory")),(COUNTIF('Quick Compare'!D296:D303,"Blog/FAQ")+COUNTIF('Quick Compare'!H296:H303,"Blog/FAQ")),(COUNTIF('Quick Compare'!D296:D303,"Portfolio/Gallery")+COUNTIF('Quick Compare'!H296:H303,"Portfolio/Gallery")),(COUNTIF('Quick Compare'!D296:D303,"About page")+COUNTIF('Quick Compare'!H296:H303,"About page")),(COUNTIF('Quick Compare'!D296:D303,"Other")+COUNTIF('Quick Compare'!H296:H303,"Other"))))+--((COUNTIF('Quick Compare'!D296:D303,"Directory")+COUNTIF('Quick Compare'!H296:H303,"Directory"))=MAX((COUNTIF('Quick Compare'!D296:D303,"Homepage")+COUNTIF('Quick Compare'!H296:H303,"Homepage")),(COUNTIF('Quick Compare'!D296:D303,"Service page")+COUNTIF('Quick Compare'!H296:H303,"Service page")),(COUNTIF('Quick Compare'!D296:D303,"Location page")+COUNTIF('Quick Compare'!H296:H303,"Location page")),(COUNTIF('Quick Compare'!D296:D303,"Directory")+COUNTIF('Quick Compare'!H296:H303,"Directory")),(COUNTIF('Quick Compare'!D296:D303,"Blog/FAQ")+COUNTIF('Quick Compare'!H296:H303,"Blog/FAQ")),(COUNTIF('Quick Compare'!D296:D303,"Portfolio/Gallery")+COUNTIF('Quick Compare'!H296:H303,"Portfolio/Gallery")),(COUNTIF('Quick Compare'!D296:D303,"About page")+COUNTIF('Quick Compare'!H296:H303,"About page")),(COUNTIF('Quick Compare'!D296:D303,"Other")+COUNTIF('Quick Compare'!H296:H303,"Other"))))+--((COUNTIF('Quick Compare'!D296:D303,"Blog/FAQ")+COUNTIF('Quick Compare'!H296:H303,"Blog/FAQ"))=MAX((COUNTIF('Quick Compare'!D296:D303,"Homepage")+COUNTIF('Quick Compare'!H296:H303,"Homepage")),(COUNTIF('Quick Compare'!D296:D303,"Service page")+COUNTIF('Quick Compare'!H296:H303,"Service page")),(COUNTIF('Quick Compare'!D296:D303,"Location page")+COUNTIF('Quick Compare'!H296:H303,"Location page")),(COUNTIF('Quick Compare'!D296:D303,"Directory")+COUNTIF('Quick Compare'!H296:H303,"Directory")),(COUNTIF('Quick Compare'!D296:D303,"Blog/FAQ")+COUNTIF('Quick Compare'!H296:H303,"Blog/FAQ")),(COUNTIF('Quick Compare'!D296:D303,"Portfolio/Gallery")+COUNTIF('Quick Compare'!H296:H303,"Portfolio/Gallery")),(COUNTIF('Quick Compare'!D296:D303,"About page")+COUNTIF('Quick Compare'!H296:H303,"About page")),(COUNTIF('Quick Compare'!D296:D303,"Other")+COUNTIF('Quick Compare'!H296:H303,"Other"))))+--((COUNTIF('Quick Compare'!D296:D303,"Portfolio/Gallery")+COUNTIF('Quick Compare'!H296:H303,"Portfolio/Gallery"))=MAX((COUNTIF('Quick Compare'!D296:D303,"Homepage")+COUNTIF('Quick Compare'!H296:H303,"Homepage")),(COUNTIF('Quick Compare'!D296:D303,"Service page")+COUNTIF('Quick Compare'!H296:H303,"Service page")),(COUNTIF('Quick Compare'!D296:D303,"Location page")+COUNTIF('Quick Compare'!H296:H303,"Location page")),(COUNTIF('Quick Compare'!D296:D303,"Directory")+COUNTIF('Quick Compare'!H296:H303,"Directory")),(COUNTIF('Quick Compare'!D296:D303,"Blog/FAQ")+COUNTIF('Quick Compare'!H296:H303,"Blog/FAQ")),(COUNTIF('Quick Compare'!D296:D303,"Portfolio/Gallery")+COUNTIF('Quick Compare'!H296:H303,"Portfolio/Gallery")),(COUNTIF('Quick Compare'!D296:D303,"About page")+COUNTIF('Quick Compare'!H296:H303,"About page")),(COUNTIF('Quick Compare'!D296:D303,"Other")+COUNTIF('Quick Compare'!H296:H303,"Other"))))+--((COUNTIF('Quick Compare'!D296:D303,"About page")+COUNTIF('Quick Compare'!H296:H303,"About page"))=MAX((COUNTIF('Quick Compare'!D296:D303,"Homepage")+COUNTIF('Quick Compare'!H296:H303,"Homepage")),(COUNTIF('Quick Compare'!D296:D303,"Service page")+COUNTIF('Quick Compare'!H296:H303,"Service page")),(COUNTIF('Quick Compare'!D296:D303,"Location page")+COUNTIF('Quick Compare'!H296:H303,"Location page")),(COUNTIF('Quick Compare'!D296:D303,"Directory")+COUNTIF('Quick Compare'!H296:H303,"Directory")),(COUNTIF('Quick Compare'!D296:D303,"Blog/FAQ")+COUNTIF('Quick Compare'!H296:H303,"Blog/FAQ")),(COUNTIF('Quick Compare'!D296:D303,"Portfolio/Gallery")+COUNTIF('Quick Compare'!H296:H303,"Portfolio/Gallery")),(COUNTIF('Quick Compare'!D296:D303,"About page")+COUNTIF('Quick Compare'!H296:H303,"About page")),(COUNTIF('Quick Compare'!D296:D303,"Other")+COUNTIF('Quick Compare'!H296:H303,"Other"))))+--((COUNTIF('Quick Compare'!D296:D303,"Other")+COUNTIF('Quick Compare'!H296:H303,"Other"))=MAX((COUNTIF('Quick Compare'!D296:D303,"Homepage")+COUNTIF('Quick Compare'!H296:H303,"Homepage")),(COUNTIF('Quick Compare'!D296:D303,"Service page")+COUNTIF('Quick Compare'!H296:H303,"Service page")),(COUNTIF('Quick Compare'!D296:D303,"Location page")+COUNTIF('Quick Compare'!H296:H303,"Location page")),(COUNTIF('Quick Compare'!D296:D303,"Directory")+COUNTIF('Quick Compare'!H296:H303,"Directory")),(COUNTIF('Quick Compare'!D296:D303,"Blog/FAQ")+COUNTIF('Quick Compare'!H296:H303,"Blog/FAQ")),(COUNTIF('Quick Compare'!D296:D303,"Portfolio/Gallery")+COUNTIF('Quick Compare'!H296:H303,"Portfolio/Gallery")),(COUNTIF('Quick Compare'!D296:D303,"About page")+COUNTIF('Quick Compare'!H296:H303,"About page")),(COUNTIF('Quick Compare'!D296:D303,"Other")+COUNTIF('Quick Compare'!H296:H303,"Other")))))&gt;1,"Tie / review",IF((COUNTIF('Quick Compare'!D296:D303,"Homepage")+COUNTIF('Quick Compare'!H296:H303,"Homepage"))=MAX((COUNTIF('Quick Compare'!D296:D303,"Homepage")+COUNTIF('Quick Compare'!H296:H303,"Homepage")),(COUNTIF('Quick Compare'!D296:D303,"Service page")+COUNTIF('Quick Compare'!H296:H303,"Service page")),(COUNTIF('Quick Compare'!D296:D303,"Location page")+COUNTIF('Quick Compare'!H296:H303,"Location page")),(COUNTIF('Quick Compare'!D296:D303,"Directory")+COUNTIF('Quick Compare'!H296:H303,"Directory")),(COUNTIF('Quick Compare'!D296:D303,"Blog/FAQ")+COUNTIF('Quick Compare'!H296:H303,"Blog/FAQ")),(COUNTIF('Quick Compare'!D296:D303,"Portfolio/Gallery")+COUNTIF('Quick Compare'!H296:H303,"Portfolio/Gallery")),(COUNTIF('Quick Compare'!D296:D303,"About page")+COUNTIF('Quick Compare'!H296:H303,"About page")),(COUNTIF('Quick Compare'!D296:D303,"Other")+COUNTIF('Quick Compare'!H296:H303,"Other"))),"Homepage",IF((COUNTIF('Quick Compare'!D296:D303,"Service page")+COUNTIF('Quick Compare'!H296:H303,"Service page"))=MAX((COUNTIF('Quick Compare'!D296:D303,"Homepage")+COUNTIF('Quick Compare'!H296:H303,"Homepage")),(COUNTIF('Quick Compare'!D296:D303,"Service page")+COUNTIF('Quick Compare'!H296:H303,"Service page")),(COUNTIF('Quick Compare'!D296:D303,"Location page")+COUNTIF('Quick Compare'!H296:H303,"Location page")),(COUNTIF('Quick Compare'!D296:D303,"Directory")+COUNTIF('Quick Compare'!H296:H303,"Directory")),(COUNTIF('Quick Compare'!D296:D303,"Blog/FAQ")+COUNTIF('Quick Compare'!H296:H303,"Blog/FAQ")),(COUNTIF('Quick Compare'!D296:D303,"Portfolio/Gallery")+COUNTIF('Quick Compare'!H296:H303,"Portfolio/Gallery")),(COUNTIF('Quick Compare'!D296:D303,"About page")+COUNTIF('Quick Compare'!H296:H303,"About page")),(COUNTIF('Quick Compare'!D296:D303,"Other")+COUNTIF('Quick Compare'!H296:H303,"Other"))),"Service page",IF((COUNTIF('Quick Compare'!D296:D303,"Location page")+COUNTIF('Quick Compare'!H296:H303,"Location page"))=MAX((COUNTIF('Quick Compare'!D296:D303,"Homepage")+COUNTIF('Quick Compare'!H296:H303,"Homepage")),(COUNTIF('Quick Compare'!D296:D303,"Service page")+COUNTIF('Quick Compare'!H296:H303,"Service page")),(COUNTIF('Quick Compare'!D296:D303,"Location page")+COUNTIF('Quick Compare'!H296:H303,"Location page")),(COUNTIF('Quick Compare'!D296:D303,"Directory")+COUNTIF('Quick Compare'!H296:H303,"Directory")),(COUNTIF('Quick Compare'!D296:D303,"Blog/FAQ")+COUNTIF('Quick Compare'!H296:H303,"Blog/FAQ")),(COUNTIF('Quick Compare'!D296:D303,"Portfolio/Gallery")+COUNTIF('Quick Compare'!H296:H303,"Portfolio/Gallery")),(COUNTIF('Quick Compare'!D296:D303,"About page")+COUNTIF('Quick Compare'!H296:H303,"About page")),(COUNTIF('Quick Compare'!D296:D303,"Other")+COUNTIF('Quick Compare'!H296:H303,"Other"))),"Location page",IF((COUNTIF('Quick Compare'!D296:D303,"Directory")+COUNTIF('Quick Compare'!H296:H303,"Directory"))=MAX((COUNTIF('Quick Compare'!D296:D303,"Homepage")+COUNTIF('Quick Compare'!H296:H303,"Homepage")),(COUNTIF('Quick Compare'!D296:D303,"Service page")+COUNTIF('Quick Compare'!H296:H303,"Service page")),(COUNTIF('Quick Compare'!D296:D303,"Location page")+COUNTIF('Quick Compare'!H296:H303,"Location page")),(COUNTIF('Quick Compare'!D296:D303,"Directory")+COUNTIF('Quick Compare'!H296:H303,"Directory")),(COUNTIF('Quick Compare'!D296:D303,"Blog/FAQ")+COUNTIF('Quick Compare'!H296:H303,"Blog/FAQ")),(COUNTIF('Quick Compare'!D296:D303,"Portfolio/Gallery")+COUNTIF('Quick Compare'!H296:H303,"Portfolio/Gallery")),(COUNTIF('Quick Compare'!D296:D303,"About page")+COUNTIF('Quick Compare'!H296:H303,"About page")),(COUNTIF('Quick Compare'!D296:D303,"Other")+COUNTIF('Quick Compare'!H296:H303,"Other"))),"Directory",IF((COUNTIF('Quick Compare'!D296:D303,"Blog/FAQ")+COUNTIF('Quick Compare'!H296:H303,"Blog/FAQ"))=MAX((COUNTIF('Quick Compare'!D296:D303,"Homepage")+COUNTIF('Quick Compare'!H296:H303,"Homepage")),(COUNTIF('Quick Compare'!D296:D303,"Service page")+COUNTIF('Quick Compare'!H296:H303,"Service page")),(COUNTIF('Quick Compare'!D296:D303,"Location page")+COUNTIF('Quick Compare'!H296:H303,"Location page")),(COUNTIF('Quick Compare'!D296:D303,"Directory")+COUNTIF('Quick Compare'!H296:H303,"Directory")),(COUNTIF('Quick Compare'!D296:D303,"Blog/FAQ")+COUNTIF('Quick Compare'!H296:H303,"Blog/FAQ")),(COUNTIF('Quick Compare'!D296:D303,"Portfolio/Gallery")+COUNTIF('Quick Compare'!H296:H303,"Portfolio/Gallery")),(COUNTIF('Quick Compare'!D296:D303,"About page")+COUNTIF('Quick Compare'!H296:H303,"About page")),(COUNTIF('Quick Compare'!D296:D303,"Other")+COUNTIF('Quick Compare'!H296:H303,"Other"))),"Blog/FAQ",IF((COUNTIF('Quick Compare'!D296:D303,"Portfolio/Gallery")+COUNTIF('Quick Compare'!H296:H303,"Portfolio/Gallery"))=MAX((COUNTIF('Quick Compare'!D296:D303,"Homepage")+COUNTIF('Quick Compare'!H296:H303,"Homepage")),(COUNTIF('Quick Compare'!D296:D303,"Service page")+COUNTIF('Quick Compare'!H296:H303,"Service page")),(COUNTIF('Quick Compare'!D296:D303,"Location page")+COUNTIF('Quick Compare'!H296:H303,"Location page")),(COUNTIF('Quick Compare'!D296:D303,"Directory")+COUNTIF('Quick Compare'!H296:H303,"Directory")),(COUNTIF('Quick Compare'!D296:D303,"Blog/FAQ")+COUNTIF('Quick Compare'!H296:H303,"Blog/FAQ")),(COUNTIF('Quick Compare'!D296:D303,"Portfolio/Gallery")+COUNTIF('Quick Compare'!H296:H303,"Portfolio/Gallery")),(COUNTIF('Quick Compare'!D296:D303,"About page")+COUNTIF('Quick Compare'!H296:H303,"About page")),(COUNTIF('Quick Compare'!D296:D303,"Other")+COUNTIF('Quick Compare'!H296:H303,"Other"))),"Portfolio/Gallery",IF((COUNTIF('Quick Compare'!D296:D303,"About page")+COUNTIF('Quick Compare'!H296:H303,"About page"))=MAX((COUNTIF('Quick Compare'!D296:D303,"Homepage")+COUNTIF('Quick Compare'!H296:H303,"Homepage")),(COUNTIF('Quick Compare'!D296:D303,"Service page")+COUNTIF('Quick Compare'!H296:H303,"Service page")),(COUNTIF('Quick Compare'!D296:D303,"Location page")+COUNTIF('Quick Compare'!H296:H303,"Location page")),(COUNTIF('Quick Compare'!D296:D303,"Directory")+COUNTIF('Quick Compare'!H296:H303,"Directory")),(COUNTIF('Quick Compare'!D296:D303,"Blog/FAQ")+COUNTIF('Quick Compare'!H296:H303,"Blog/FAQ")),(COUNTIF('Quick Compare'!D296:D303,"Portfolio/Gallery")+COUNTIF('Quick Compare'!H296:H303,"Portfolio/Gallery")),(COUNTIF('Quick Compare'!D296:D303,"About page")+COUNTIF('Quick Compare'!H296:H303,"About page")),(COUNTIF('Quick Compare'!D296:D303,"Other")+COUNTIF('Quick Compare'!H296:H303,"Other"))),"About page","Other"))))))))))</x:f>
      </x:c>
      <x:c r="K16" s="67"/>
      <x:c r="L16" s="67"/>
    </x:row>
    <x:row r="17">
      <x:c r="A17" s="67" t="str">
        <x:f>IF('Quick Compare'!B314="","",'Quick Compare'!B314)</x:f>
      </x:c>
      <x:c r="B17" s="67" t="str">
        <x:f>IF('Quick Compare'!B315="","",'Quick Compare'!B315)</x:f>
      </x:c>
      <x:c r="C17" s="67" t="str">
        <x:f>IF('Quick Compare'!B316="","",'Quick Compare'!B316)</x:f>
      </x:c>
      <x:c r="D17" s="67" t="str">
        <x:f>IF(B17="","",'Quick Compare'!B331)</x:f>
      </x:c>
      <x:c r="E17" s="67" t="str">
        <x:f>IF(B17="","",MAX(0,'Quick Compare'!B332-'Quick Compare'!B331))</x:f>
      </x:c>
      <x:c r="F17" s="67" t="str">
        <x:f>IF(B17="","",'Quick Compare'!B333)</x:f>
      </x:c>
      <x:c r="G17" s="67" t="str">
        <x:f>IF(B17="","",'Quick Compare'!B334)</x:f>
      </x:c>
      <x:c r="H17" s="67"/>
      <x:c r="I17" s="67"/>
      <x:c r="J17" s="67" t="str">
        <x:f>IF(B17="","",IF(MAX((COUNTIF('Quick Compare'!D320:D327,"Homepage")+COUNTIF('Quick Compare'!H320:H327,"Homepage")),(COUNTIF('Quick Compare'!D320:D327,"Service page")+COUNTIF('Quick Compare'!H320:H327,"Service page")),(COUNTIF('Quick Compare'!D320:D327,"Location page")+COUNTIF('Quick Compare'!H320:H327,"Location page")),(COUNTIF('Quick Compare'!D320:D327,"Directory")+COUNTIF('Quick Compare'!H320:H327,"Directory")),(COUNTIF('Quick Compare'!D320:D327,"Blog/FAQ")+COUNTIF('Quick Compare'!H320:H327,"Blog/FAQ")),(COUNTIF('Quick Compare'!D320:D327,"Portfolio/Gallery")+COUNTIF('Quick Compare'!H320:H327,"Portfolio/Gallery")),(COUNTIF('Quick Compare'!D320:D327,"About page")+COUNTIF('Quick Compare'!H320:H327,"About page")),(COUNTIF('Quick Compare'!D320:D327,"Other")+COUNTIF('Quick Compare'!H320:H327,"Other")))=0,"",IF((--((COUNTIF('Quick Compare'!D320:D327,"Homepage")+COUNTIF('Quick Compare'!H320:H327,"Homepage"))=MAX((COUNTIF('Quick Compare'!D320:D327,"Homepage")+COUNTIF('Quick Compare'!H320:H327,"Homepage")),(COUNTIF('Quick Compare'!D320:D327,"Service page")+COUNTIF('Quick Compare'!H320:H327,"Service page")),(COUNTIF('Quick Compare'!D320:D327,"Location page")+COUNTIF('Quick Compare'!H320:H327,"Location page")),(COUNTIF('Quick Compare'!D320:D327,"Directory")+COUNTIF('Quick Compare'!H320:H327,"Directory")),(COUNTIF('Quick Compare'!D320:D327,"Blog/FAQ")+COUNTIF('Quick Compare'!H320:H327,"Blog/FAQ")),(COUNTIF('Quick Compare'!D320:D327,"Portfolio/Gallery")+COUNTIF('Quick Compare'!H320:H327,"Portfolio/Gallery")),(COUNTIF('Quick Compare'!D320:D327,"About page")+COUNTIF('Quick Compare'!H320:H327,"About page")),(COUNTIF('Quick Compare'!D320:D327,"Other")+COUNTIF('Quick Compare'!H320:H327,"Other"))))+--((COUNTIF('Quick Compare'!D320:D327,"Service page")+COUNTIF('Quick Compare'!H320:H327,"Service page"))=MAX((COUNTIF('Quick Compare'!D320:D327,"Homepage")+COUNTIF('Quick Compare'!H320:H327,"Homepage")),(COUNTIF('Quick Compare'!D320:D327,"Service page")+COUNTIF('Quick Compare'!H320:H327,"Service page")),(COUNTIF('Quick Compare'!D320:D327,"Location page")+COUNTIF('Quick Compare'!H320:H327,"Location page")),(COUNTIF('Quick Compare'!D320:D327,"Directory")+COUNTIF('Quick Compare'!H320:H327,"Directory")),(COUNTIF('Quick Compare'!D320:D327,"Blog/FAQ")+COUNTIF('Quick Compare'!H320:H327,"Blog/FAQ")),(COUNTIF('Quick Compare'!D320:D327,"Portfolio/Gallery")+COUNTIF('Quick Compare'!H320:H327,"Portfolio/Gallery")),(COUNTIF('Quick Compare'!D320:D327,"About page")+COUNTIF('Quick Compare'!H320:H327,"About page")),(COUNTIF('Quick Compare'!D320:D327,"Other")+COUNTIF('Quick Compare'!H320:H327,"Other"))))+--((COUNTIF('Quick Compare'!D320:D327,"Location page")+COUNTIF('Quick Compare'!H320:H327,"Location page"))=MAX((COUNTIF('Quick Compare'!D320:D327,"Homepage")+COUNTIF('Quick Compare'!H320:H327,"Homepage")),(COUNTIF('Quick Compare'!D320:D327,"Service page")+COUNTIF('Quick Compare'!H320:H327,"Service page")),(COUNTIF('Quick Compare'!D320:D327,"Location page")+COUNTIF('Quick Compare'!H320:H327,"Location page")),(COUNTIF('Quick Compare'!D320:D327,"Directory")+COUNTIF('Quick Compare'!H320:H327,"Directory")),(COUNTIF('Quick Compare'!D320:D327,"Blog/FAQ")+COUNTIF('Quick Compare'!H320:H327,"Blog/FAQ")),(COUNTIF('Quick Compare'!D320:D327,"Portfolio/Gallery")+COUNTIF('Quick Compare'!H320:H327,"Portfolio/Gallery")),(COUNTIF('Quick Compare'!D320:D327,"About page")+COUNTIF('Quick Compare'!H320:H327,"About page")),(COUNTIF('Quick Compare'!D320:D327,"Other")+COUNTIF('Quick Compare'!H320:H327,"Other"))))+--((COUNTIF('Quick Compare'!D320:D327,"Directory")+COUNTIF('Quick Compare'!H320:H327,"Directory"))=MAX((COUNTIF('Quick Compare'!D320:D327,"Homepage")+COUNTIF('Quick Compare'!H320:H327,"Homepage")),(COUNTIF('Quick Compare'!D320:D327,"Service page")+COUNTIF('Quick Compare'!H320:H327,"Service page")),(COUNTIF('Quick Compare'!D320:D327,"Location page")+COUNTIF('Quick Compare'!H320:H327,"Location page")),(COUNTIF('Quick Compare'!D320:D327,"Directory")+COUNTIF('Quick Compare'!H320:H327,"Directory")),(COUNTIF('Quick Compare'!D320:D327,"Blog/FAQ")+COUNTIF('Quick Compare'!H320:H327,"Blog/FAQ")),(COUNTIF('Quick Compare'!D320:D327,"Portfolio/Gallery")+COUNTIF('Quick Compare'!H320:H327,"Portfolio/Gallery")),(COUNTIF('Quick Compare'!D320:D327,"About page")+COUNTIF('Quick Compare'!H320:H327,"About page")),(COUNTIF('Quick Compare'!D320:D327,"Other")+COUNTIF('Quick Compare'!H320:H327,"Other"))))+--((COUNTIF('Quick Compare'!D320:D327,"Blog/FAQ")+COUNTIF('Quick Compare'!H320:H327,"Blog/FAQ"))=MAX((COUNTIF('Quick Compare'!D320:D327,"Homepage")+COUNTIF('Quick Compare'!H320:H327,"Homepage")),(COUNTIF('Quick Compare'!D320:D327,"Service page")+COUNTIF('Quick Compare'!H320:H327,"Service page")),(COUNTIF('Quick Compare'!D320:D327,"Location page")+COUNTIF('Quick Compare'!H320:H327,"Location page")),(COUNTIF('Quick Compare'!D320:D327,"Directory")+COUNTIF('Quick Compare'!H320:H327,"Directory")),(COUNTIF('Quick Compare'!D320:D327,"Blog/FAQ")+COUNTIF('Quick Compare'!H320:H327,"Blog/FAQ")),(COUNTIF('Quick Compare'!D320:D327,"Portfolio/Gallery")+COUNTIF('Quick Compare'!H320:H327,"Portfolio/Gallery")),(COUNTIF('Quick Compare'!D320:D327,"About page")+COUNTIF('Quick Compare'!H320:H327,"About page")),(COUNTIF('Quick Compare'!D320:D327,"Other")+COUNTIF('Quick Compare'!H320:H327,"Other"))))+--((COUNTIF('Quick Compare'!D320:D327,"Portfolio/Gallery")+COUNTIF('Quick Compare'!H320:H327,"Portfolio/Gallery"))=MAX((COUNTIF('Quick Compare'!D320:D327,"Homepage")+COUNTIF('Quick Compare'!H320:H327,"Homepage")),(COUNTIF('Quick Compare'!D320:D327,"Service page")+COUNTIF('Quick Compare'!H320:H327,"Service page")),(COUNTIF('Quick Compare'!D320:D327,"Location page")+COUNTIF('Quick Compare'!H320:H327,"Location page")),(COUNTIF('Quick Compare'!D320:D327,"Directory")+COUNTIF('Quick Compare'!H320:H327,"Directory")),(COUNTIF('Quick Compare'!D320:D327,"Blog/FAQ")+COUNTIF('Quick Compare'!H320:H327,"Blog/FAQ")),(COUNTIF('Quick Compare'!D320:D327,"Portfolio/Gallery")+COUNTIF('Quick Compare'!H320:H327,"Portfolio/Gallery")),(COUNTIF('Quick Compare'!D320:D327,"About page")+COUNTIF('Quick Compare'!H320:H327,"About page")),(COUNTIF('Quick Compare'!D320:D327,"Other")+COUNTIF('Quick Compare'!H320:H327,"Other"))))+--((COUNTIF('Quick Compare'!D320:D327,"About page")+COUNTIF('Quick Compare'!H320:H327,"About page"))=MAX((COUNTIF('Quick Compare'!D320:D327,"Homepage")+COUNTIF('Quick Compare'!H320:H327,"Homepage")),(COUNTIF('Quick Compare'!D320:D327,"Service page")+COUNTIF('Quick Compare'!H320:H327,"Service page")),(COUNTIF('Quick Compare'!D320:D327,"Location page")+COUNTIF('Quick Compare'!H320:H327,"Location page")),(COUNTIF('Quick Compare'!D320:D327,"Directory")+COUNTIF('Quick Compare'!H320:H327,"Directory")),(COUNTIF('Quick Compare'!D320:D327,"Blog/FAQ")+COUNTIF('Quick Compare'!H320:H327,"Blog/FAQ")),(COUNTIF('Quick Compare'!D320:D327,"Portfolio/Gallery")+COUNTIF('Quick Compare'!H320:H327,"Portfolio/Gallery")),(COUNTIF('Quick Compare'!D320:D327,"About page")+COUNTIF('Quick Compare'!H320:H327,"About page")),(COUNTIF('Quick Compare'!D320:D327,"Other")+COUNTIF('Quick Compare'!H320:H327,"Other"))))+--((COUNTIF('Quick Compare'!D320:D327,"Other")+COUNTIF('Quick Compare'!H320:H327,"Other"))=MAX((COUNTIF('Quick Compare'!D320:D327,"Homepage")+COUNTIF('Quick Compare'!H320:H327,"Homepage")),(COUNTIF('Quick Compare'!D320:D327,"Service page")+COUNTIF('Quick Compare'!H320:H327,"Service page")),(COUNTIF('Quick Compare'!D320:D327,"Location page")+COUNTIF('Quick Compare'!H320:H327,"Location page")),(COUNTIF('Quick Compare'!D320:D327,"Directory")+COUNTIF('Quick Compare'!H320:H327,"Directory")),(COUNTIF('Quick Compare'!D320:D327,"Blog/FAQ")+COUNTIF('Quick Compare'!H320:H327,"Blog/FAQ")),(COUNTIF('Quick Compare'!D320:D327,"Portfolio/Gallery")+COUNTIF('Quick Compare'!H320:H327,"Portfolio/Gallery")),(COUNTIF('Quick Compare'!D320:D327,"About page")+COUNTIF('Quick Compare'!H320:H327,"About page")),(COUNTIF('Quick Compare'!D320:D327,"Other")+COUNTIF('Quick Compare'!H320:H327,"Other")))))&gt;1,"Tie / review",IF((COUNTIF('Quick Compare'!D320:D327,"Homepage")+COUNTIF('Quick Compare'!H320:H327,"Homepage"))=MAX((COUNTIF('Quick Compare'!D320:D327,"Homepage")+COUNTIF('Quick Compare'!H320:H327,"Homepage")),(COUNTIF('Quick Compare'!D320:D327,"Service page")+COUNTIF('Quick Compare'!H320:H327,"Service page")),(COUNTIF('Quick Compare'!D320:D327,"Location page")+COUNTIF('Quick Compare'!H320:H327,"Location page")),(COUNTIF('Quick Compare'!D320:D327,"Directory")+COUNTIF('Quick Compare'!H320:H327,"Directory")),(COUNTIF('Quick Compare'!D320:D327,"Blog/FAQ")+COUNTIF('Quick Compare'!H320:H327,"Blog/FAQ")),(COUNTIF('Quick Compare'!D320:D327,"Portfolio/Gallery")+COUNTIF('Quick Compare'!H320:H327,"Portfolio/Gallery")),(COUNTIF('Quick Compare'!D320:D327,"About page")+COUNTIF('Quick Compare'!H320:H327,"About page")),(COUNTIF('Quick Compare'!D320:D327,"Other")+COUNTIF('Quick Compare'!H320:H327,"Other"))),"Homepage",IF((COUNTIF('Quick Compare'!D320:D327,"Service page")+COUNTIF('Quick Compare'!H320:H327,"Service page"))=MAX((COUNTIF('Quick Compare'!D320:D327,"Homepage")+COUNTIF('Quick Compare'!H320:H327,"Homepage")),(COUNTIF('Quick Compare'!D320:D327,"Service page")+COUNTIF('Quick Compare'!H320:H327,"Service page")),(COUNTIF('Quick Compare'!D320:D327,"Location page")+COUNTIF('Quick Compare'!H320:H327,"Location page")),(COUNTIF('Quick Compare'!D320:D327,"Directory")+COUNTIF('Quick Compare'!H320:H327,"Directory")),(COUNTIF('Quick Compare'!D320:D327,"Blog/FAQ")+COUNTIF('Quick Compare'!H320:H327,"Blog/FAQ")),(COUNTIF('Quick Compare'!D320:D327,"Portfolio/Gallery")+COUNTIF('Quick Compare'!H320:H327,"Portfolio/Gallery")),(COUNTIF('Quick Compare'!D320:D327,"About page")+COUNTIF('Quick Compare'!H320:H327,"About page")),(COUNTIF('Quick Compare'!D320:D327,"Other")+COUNTIF('Quick Compare'!H320:H327,"Other"))),"Service page",IF((COUNTIF('Quick Compare'!D320:D327,"Location page")+COUNTIF('Quick Compare'!H320:H327,"Location page"))=MAX((COUNTIF('Quick Compare'!D320:D327,"Homepage")+COUNTIF('Quick Compare'!H320:H327,"Homepage")),(COUNTIF('Quick Compare'!D320:D327,"Service page")+COUNTIF('Quick Compare'!H320:H327,"Service page")),(COUNTIF('Quick Compare'!D320:D327,"Location page")+COUNTIF('Quick Compare'!H320:H327,"Location page")),(COUNTIF('Quick Compare'!D320:D327,"Directory")+COUNTIF('Quick Compare'!H320:H327,"Directory")),(COUNTIF('Quick Compare'!D320:D327,"Blog/FAQ")+COUNTIF('Quick Compare'!H320:H327,"Blog/FAQ")),(COUNTIF('Quick Compare'!D320:D327,"Portfolio/Gallery")+COUNTIF('Quick Compare'!H320:H327,"Portfolio/Gallery")),(COUNTIF('Quick Compare'!D320:D327,"About page")+COUNTIF('Quick Compare'!H320:H327,"About page")),(COUNTIF('Quick Compare'!D320:D327,"Other")+COUNTIF('Quick Compare'!H320:H327,"Other"))),"Location page",IF((COUNTIF('Quick Compare'!D320:D327,"Directory")+COUNTIF('Quick Compare'!H320:H327,"Directory"))=MAX((COUNTIF('Quick Compare'!D320:D327,"Homepage")+COUNTIF('Quick Compare'!H320:H327,"Homepage")),(COUNTIF('Quick Compare'!D320:D327,"Service page")+COUNTIF('Quick Compare'!H320:H327,"Service page")),(COUNTIF('Quick Compare'!D320:D327,"Location page")+COUNTIF('Quick Compare'!H320:H327,"Location page")),(COUNTIF('Quick Compare'!D320:D327,"Directory")+COUNTIF('Quick Compare'!H320:H327,"Directory")),(COUNTIF('Quick Compare'!D320:D327,"Blog/FAQ")+COUNTIF('Quick Compare'!H320:H327,"Blog/FAQ")),(COUNTIF('Quick Compare'!D320:D327,"Portfolio/Gallery")+COUNTIF('Quick Compare'!H320:H327,"Portfolio/Gallery")),(COUNTIF('Quick Compare'!D320:D327,"About page")+COUNTIF('Quick Compare'!H320:H327,"About page")),(COUNTIF('Quick Compare'!D320:D327,"Other")+COUNTIF('Quick Compare'!H320:H327,"Other"))),"Directory",IF((COUNTIF('Quick Compare'!D320:D327,"Blog/FAQ")+COUNTIF('Quick Compare'!H320:H327,"Blog/FAQ"))=MAX((COUNTIF('Quick Compare'!D320:D327,"Homepage")+COUNTIF('Quick Compare'!H320:H327,"Homepage")),(COUNTIF('Quick Compare'!D320:D327,"Service page")+COUNTIF('Quick Compare'!H320:H327,"Service page")),(COUNTIF('Quick Compare'!D320:D327,"Location page")+COUNTIF('Quick Compare'!H320:H327,"Location page")),(COUNTIF('Quick Compare'!D320:D327,"Directory")+COUNTIF('Quick Compare'!H320:H327,"Directory")),(COUNTIF('Quick Compare'!D320:D327,"Blog/FAQ")+COUNTIF('Quick Compare'!H320:H327,"Blog/FAQ")),(COUNTIF('Quick Compare'!D320:D327,"Portfolio/Gallery")+COUNTIF('Quick Compare'!H320:H327,"Portfolio/Gallery")),(COUNTIF('Quick Compare'!D320:D327,"About page")+COUNTIF('Quick Compare'!H320:H327,"About page")),(COUNTIF('Quick Compare'!D320:D327,"Other")+COUNTIF('Quick Compare'!H320:H327,"Other"))),"Blog/FAQ",IF((COUNTIF('Quick Compare'!D320:D327,"Portfolio/Gallery")+COUNTIF('Quick Compare'!H320:H327,"Portfolio/Gallery"))=MAX((COUNTIF('Quick Compare'!D320:D327,"Homepage")+COUNTIF('Quick Compare'!H320:H327,"Homepage")),(COUNTIF('Quick Compare'!D320:D327,"Service page")+COUNTIF('Quick Compare'!H320:H327,"Service page")),(COUNTIF('Quick Compare'!D320:D327,"Location page")+COUNTIF('Quick Compare'!H320:H327,"Location page")),(COUNTIF('Quick Compare'!D320:D327,"Directory")+COUNTIF('Quick Compare'!H320:H327,"Directory")),(COUNTIF('Quick Compare'!D320:D327,"Blog/FAQ")+COUNTIF('Quick Compare'!H320:H327,"Blog/FAQ")),(COUNTIF('Quick Compare'!D320:D327,"Portfolio/Gallery")+COUNTIF('Quick Compare'!H320:H327,"Portfolio/Gallery")),(COUNTIF('Quick Compare'!D320:D327,"About page")+COUNTIF('Quick Compare'!H320:H327,"About page")),(COUNTIF('Quick Compare'!D320:D327,"Other")+COUNTIF('Quick Compare'!H320:H327,"Other"))),"Portfolio/Gallery",IF((COUNTIF('Quick Compare'!D320:D327,"About page")+COUNTIF('Quick Compare'!H320:H327,"About page"))=MAX((COUNTIF('Quick Compare'!D320:D327,"Homepage")+COUNTIF('Quick Compare'!H320:H327,"Homepage")),(COUNTIF('Quick Compare'!D320:D327,"Service page")+COUNTIF('Quick Compare'!H320:H327,"Service page")),(COUNTIF('Quick Compare'!D320:D327,"Location page")+COUNTIF('Quick Compare'!H320:H327,"Location page")),(COUNTIF('Quick Compare'!D320:D327,"Directory")+COUNTIF('Quick Compare'!H320:H327,"Directory")),(COUNTIF('Quick Compare'!D320:D327,"Blog/FAQ")+COUNTIF('Quick Compare'!H320:H327,"Blog/FAQ")),(COUNTIF('Quick Compare'!D320:D327,"Portfolio/Gallery")+COUNTIF('Quick Compare'!H320:H327,"Portfolio/Gallery")),(COUNTIF('Quick Compare'!D320:D327,"About page")+COUNTIF('Quick Compare'!H320:H327,"About page")),(COUNTIF('Quick Compare'!D320:D327,"Other")+COUNTIF('Quick Compare'!H320:H327,"Other"))),"About page","Other"))))))))))</x:f>
      </x:c>
      <x:c r="K17" s="67"/>
      <x:c r="L17" s="67"/>
    </x:row>
    <x:row r="18">
      <x:c r="A18" s="67" t="str">
        <x:f>IF('Quick Compare'!B338="","",'Quick Compare'!B338)</x:f>
      </x:c>
      <x:c r="B18" s="67" t="str">
        <x:f>IF('Quick Compare'!B339="","",'Quick Compare'!B339)</x:f>
      </x:c>
      <x:c r="C18" s="67" t="str">
        <x:f>IF('Quick Compare'!B340="","",'Quick Compare'!B340)</x:f>
      </x:c>
      <x:c r="D18" s="67" t="str">
        <x:f>IF(B18="","",'Quick Compare'!B355)</x:f>
      </x:c>
      <x:c r="E18" s="67" t="str">
        <x:f>IF(B18="","",MAX(0,'Quick Compare'!B356-'Quick Compare'!B355))</x:f>
      </x:c>
      <x:c r="F18" s="67" t="str">
        <x:f>IF(B18="","",'Quick Compare'!B357)</x:f>
      </x:c>
      <x:c r="G18" s="67" t="str">
        <x:f>IF(B18="","",'Quick Compare'!B358)</x:f>
      </x:c>
      <x:c r="H18" s="67"/>
      <x:c r="I18" s="67"/>
      <x:c r="J18" s="67" t="str">
        <x:f>IF(B18="","",IF(MAX((COUNTIF('Quick Compare'!D344:D351,"Homepage")+COUNTIF('Quick Compare'!H344:H351,"Homepage")),(COUNTIF('Quick Compare'!D344:D351,"Service page")+COUNTIF('Quick Compare'!H344:H351,"Service page")),(COUNTIF('Quick Compare'!D344:D351,"Location page")+COUNTIF('Quick Compare'!H344:H351,"Location page")),(COUNTIF('Quick Compare'!D344:D351,"Directory")+COUNTIF('Quick Compare'!H344:H351,"Directory")),(COUNTIF('Quick Compare'!D344:D351,"Blog/FAQ")+COUNTIF('Quick Compare'!H344:H351,"Blog/FAQ")),(COUNTIF('Quick Compare'!D344:D351,"Portfolio/Gallery")+COUNTIF('Quick Compare'!H344:H351,"Portfolio/Gallery")),(COUNTIF('Quick Compare'!D344:D351,"About page")+COUNTIF('Quick Compare'!H344:H351,"About page")),(COUNTIF('Quick Compare'!D344:D351,"Other")+COUNTIF('Quick Compare'!H344:H351,"Other")))=0,"",IF((--((COUNTIF('Quick Compare'!D344:D351,"Homepage")+COUNTIF('Quick Compare'!H344:H351,"Homepage"))=MAX((COUNTIF('Quick Compare'!D344:D351,"Homepage")+COUNTIF('Quick Compare'!H344:H351,"Homepage")),(COUNTIF('Quick Compare'!D344:D351,"Service page")+COUNTIF('Quick Compare'!H344:H351,"Service page")),(COUNTIF('Quick Compare'!D344:D351,"Location page")+COUNTIF('Quick Compare'!H344:H351,"Location page")),(COUNTIF('Quick Compare'!D344:D351,"Directory")+COUNTIF('Quick Compare'!H344:H351,"Directory")),(COUNTIF('Quick Compare'!D344:D351,"Blog/FAQ")+COUNTIF('Quick Compare'!H344:H351,"Blog/FAQ")),(COUNTIF('Quick Compare'!D344:D351,"Portfolio/Gallery")+COUNTIF('Quick Compare'!H344:H351,"Portfolio/Gallery")),(COUNTIF('Quick Compare'!D344:D351,"About page")+COUNTIF('Quick Compare'!H344:H351,"About page")),(COUNTIF('Quick Compare'!D344:D351,"Other")+COUNTIF('Quick Compare'!H344:H351,"Other"))))+--((COUNTIF('Quick Compare'!D344:D351,"Service page")+COUNTIF('Quick Compare'!H344:H351,"Service page"))=MAX((COUNTIF('Quick Compare'!D344:D351,"Homepage")+COUNTIF('Quick Compare'!H344:H351,"Homepage")),(COUNTIF('Quick Compare'!D344:D351,"Service page")+COUNTIF('Quick Compare'!H344:H351,"Service page")),(COUNTIF('Quick Compare'!D344:D351,"Location page")+COUNTIF('Quick Compare'!H344:H351,"Location page")),(COUNTIF('Quick Compare'!D344:D351,"Directory")+COUNTIF('Quick Compare'!H344:H351,"Directory")),(COUNTIF('Quick Compare'!D344:D351,"Blog/FAQ")+COUNTIF('Quick Compare'!H344:H351,"Blog/FAQ")),(COUNTIF('Quick Compare'!D344:D351,"Portfolio/Gallery")+COUNTIF('Quick Compare'!H344:H351,"Portfolio/Gallery")),(COUNTIF('Quick Compare'!D344:D351,"About page")+COUNTIF('Quick Compare'!H344:H351,"About page")),(COUNTIF('Quick Compare'!D344:D351,"Other")+COUNTIF('Quick Compare'!H344:H351,"Other"))))+--((COUNTIF('Quick Compare'!D344:D351,"Location page")+COUNTIF('Quick Compare'!H344:H351,"Location page"))=MAX((COUNTIF('Quick Compare'!D344:D351,"Homepage")+COUNTIF('Quick Compare'!H344:H351,"Homepage")),(COUNTIF('Quick Compare'!D344:D351,"Service page")+COUNTIF('Quick Compare'!H344:H351,"Service page")),(COUNTIF('Quick Compare'!D344:D351,"Location page")+COUNTIF('Quick Compare'!H344:H351,"Location page")),(COUNTIF('Quick Compare'!D344:D351,"Directory")+COUNTIF('Quick Compare'!H344:H351,"Directory")),(COUNTIF('Quick Compare'!D344:D351,"Blog/FAQ")+COUNTIF('Quick Compare'!H344:H351,"Blog/FAQ")),(COUNTIF('Quick Compare'!D344:D351,"Portfolio/Gallery")+COUNTIF('Quick Compare'!H344:H351,"Portfolio/Gallery")),(COUNTIF('Quick Compare'!D344:D351,"About page")+COUNTIF('Quick Compare'!H344:H351,"About page")),(COUNTIF('Quick Compare'!D344:D351,"Other")+COUNTIF('Quick Compare'!H344:H351,"Other"))))+--((COUNTIF('Quick Compare'!D344:D351,"Directory")+COUNTIF('Quick Compare'!H344:H351,"Directory"))=MAX((COUNTIF('Quick Compare'!D344:D351,"Homepage")+COUNTIF('Quick Compare'!H344:H351,"Homepage")),(COUNTIF('Quick Compare'!D344:D351,"Service page")+COUNTIF('Quick Compare'!H344:H351,"Service page")),(COUNTIF('Quick Compare'!D344:D351,"Location page")+COUNTIF('Quick Compare'!H344:H351,"Location page")),(COUNTIF('Quick Compare'!D344:D351,"Directory")+COUNTIF('Quick Compare'!H344:H351,"Directory")),(COUNTIF('Quick Compare'!D344:D351,"Blog/FAQ")+COUNTIF('Quick Compare'!H344:H351,"Blog/FAQ")),(COUNTIF('Quick Compare'!D344:D351,"Portfolio/Gallery")+COUNTIF('Quick Compare'!H344:H351,"Portfolio/Gallery")),(COUNTIF('Quick Compare'!D344:D351,"About page")+COUNTIF('Quick Compare'!H344:H351,"About page")),(COUNTIF('Quick Compare'!D344:D351,"Other")+COUNTIF('Quick Compare'!H344:H351,"Other"))))+--((COUNTIF('Quick Compare'!D344:D351,"Blog/FAQ")+COUNTIF('Quick Compare'!H344:H351,"Blog/FAQ"))=MAX((COUNTIF('Quick Compare'!D344:D351,"Homepage")+COUNTIF('Quick Compare'!H344:H351,"Homepage")),(COUNTIF('Quick Compare'!D344:D351,"Service page")+COUNTIF('Quick Compare'!H344:H351,"Service page")),(COUNTIF('Quick Compare'!D344:D351,"Location page")+COUNTIF('Quick Compare'!H344:H351,"Location page")),(COUNTIF('Quick Compare'!D344:D351,"Directory")+COUNTIF('Quick Compare'!H344:H351,"Directory")),(COUNTIF('Quick Compare'!D344:D351,"Blog/FAQ")+COUNTIF('Quick Compare'!H344:H351,"Blog/FAQ")),(COUNTIF('Quick Compare'!D344:D351,"Portfolio/Gallery")+COUNTIF('Quick Compare'!H344:H351,"Portfolio/Gallery")),(COUNTIF('Quick Compare'!D344:D351,"About page")+COUNTIF('Quick Compare'!H344:H351,"About page")),(COUNTIF('Quick Compare'!D344:D351,"Other")+COUNTIF('Quick Compare'!H344:H351,"Other"))))+--((COUNTIF('Quick Compare'!D344:D351,"Portfolio/Gallery")+COUNTIF('Quick Compare'!H344:H351,"Portfolio/Gallery"))=MAX((COUNTIF('Quick Compare'!D344:D351,"Homepage")+COUNTIF('Quick Compare'!H344:H351,"Homepage")),(COUNTIF('Quick Compare'!D344:D351,"Service page")+COUNTIF('Quick Compare'!H344:H351,"Service page")),(COUNTIF('Quick Compare'!D344:D351,"Location page")+COUNTIF('Quick Compare'!H344:H351,"Location page")),(COUNTIF('Quick Compare'!D344:D351,"Directory")+COUNTIF('Quick Compare'!H344:H351,"Directory")),(COUNTIF('Quick Compare'!D344:D351,"Blog/FAQ")+COUNTIF('Quick Compare'!H344:H351,"Blog/FAQ")),(COUNTIF('Quick Compare'!D344:D351,"Portfolio/Gallery")+COUNTIF('Quick Compare'!H344:H351,"Portfolio/Gallery")),(COUNTIF('Quick Compare'!D344:D351,"About page")+COUNTIF('Quick Compare'!H344:H351,"About page")),(COUNTIF('Quick Compare'!D344:D351,"Other")+COUNTIF('Quick Compare'!H344:H351,"Other"))))+--((COUNTIF('Quick Compare'!D344:D351,"About page")+COUNTIF('Quick Compare'!H344:H351,"About page"))=MAX((COUNTIF('Quick Compare'!D344:D351,"Homepage")+COUNTIF('Quick Compare'!H344:H351,"Homepage")),(COUNTIF('Quick Compare'!D344:D351,"Service page")+COUNTIF('Quick Compare'!H344:H351,"Service page")),(COUNTIF('Quick Compare'!D344:D351,"Location page")+COUNTIF('Quick Compare'!H344:H351,"Location page")),(COUNTIF('Quick Compare'!D344:D351,"Directory")+COUNTIF('Quick Compare'!H344:H351,"Directory")),(COUNTIF('Quick Compare'!D344:D351,"Blog/FAQ")+COUNTIF('Quick Compare'!H344:H351,"Blog/FAQ")),(COUNTIF('Quick Compare'!D344:D351,"Portfolio/Gallery")+COUNTIF('Quick Compare'!H344:H351,"Portfolio/Gallery")),(COUNTIF('Quick Compare'!D344:D351,"About page")+COUNTIF('Quick Compare'!H344:H351,"About page")),(COUNTIF('Quick Compare'!D344:D351,"Other")+COUNTIF('Quick Compare'!H344:H351,"Other"))))+--((COUNTIF('Quick Compare'!D344:D351,"Other")+COUNTIF('Quick Compare'!H344:H351,"Other"))=MAX((COUNTIF('Quick Compare'!D344:D351,"Homepage")+COUNTIF('Quick Compare'!H344:H351,"Homepage")),(COUNTIF('Quick Compare'!D344:D351,"Service page")+COUNTIF('Quick Compare'!H344:H351,"Service page")),(COUNTIF('Quick Compare'!D344:D351,"Location page")+COUNTIF('Quick Compare'!H344:H351,"Location page")),(COUNTIF('Quick Compare'!D344:D351,"Directory")+COUNTIF('Quick Compare'!H344:H351,"Directory")),(COUNTIF('Quick Compare'!D344:D351,"Blog/FAQ")+COUNTIF('Quick Compare'!H344:H351,"Blog/FAQ")),(COUNTIF('Quick Compare'!D344:D351,"Portfolio/Gallery")+COUNTIF('Quick Compare'!H344:H351,"Portfolio/Gallery")),(COUNTIF('Quick Compare'!D344:D351,"About page")+COUNTIF('Quick Compare'!H344:H351,"About page")),(COUNTIF('Quick Compare'!D344:D351,"Other")+COUNTIF('Quick Compare'!H344:H351,"Other")))))&gt;1,"Tie / review",IF((COUNTIF('Quick Compare'!D344:D351,"Homepage")+COUNTIF('Quick Compare'!H344:H351,"Homepage"))=MAX((COUNTIF('Quick Compare'!D344:D351,"Homepage")+COUNTIF('Quick Compare'!H344:H351,"Homepage")),(COUNTIF('Quick Compare'!D344:D351,"Service page")+COUNTIF('Quick Compare'!H344:H351,"Service page")),(COUNTIF('Quick Compare'!D344:D351,"Location page")+COUNTIF('Quick Compare'!H344:H351,"Location page")),(COUNTIF('Quick Compare'!D344:D351,"Directory")+COUNTIF('Quick Compare'!H344:H351,"Directory")),(COUNTIF('Quick Compare'!D344:D351,"Blog/FAQ")+COUNTIF('Quick Compare'!H344:H351,"Blog/FAQ")),(COUNTIF('Quick Compare'!D344:D351,"Portfolio/Gallery")+COUNTIF('Quick Compare'!H344:H351,"Portfolio/Gallery")),(COUNTIF('Quick Compare'!D344:D351,"About page")+COUNTIF('Quick Compare'!H344:H351,"About page")),(COUNTIF('Quick Compare'!D344:D351,"Other")+COUNTIF('Quick Compare'!H344:H351,"Other"))),"Homepage",IF((COUNTIF('Quick Compare'!D344:D351,"Service page")+COUNTIF('Quick Compare'!H344:H351,"Service page"))=MAX((COUNTIF('Quick Compare'!D344:D351,"Homepage")+COUNTIF('Quick Compare'!H344:H351,"Homepage")),(COUNTIF('Quick Compare'!D344:D351,"Service page")+COUNTIF('Quick Compare'!H344:H351,"Service page")),(COUNTIF('Quick Compare'!D344:D351,"Location page")+COUNTIF('Quick Compare'!H344:H351,"Location page")),(COUNTIF('Quick Compare'!D344:D351,"Directory")+COUNTIF('Quick Compare'!H344:H351,"Directory")),(COUNTIF('Quick Compare'!D344:D351,"Blog/FAQ")+COUNTIF('Quick Compare'!H344:H351,"Blog/FAQ")),(COUNTIF('Quick Compare'!D344:D351,"Portfolio/Gallery")+COUNTIF('Quick Compare'!H344:H351,"Portfolio/Gallery")),(COUNTIF('Quick Compare'!D344:D351,"About page")+COUNTIF('Quick Compare'!H344:H351,"About page")),(COUNTIF('Quick Compare'!D344:D351,"Other")+COUNTIF('Quick Compare'!H344:H351,"Other"))),"Service page",IF((COUNTIF('Quick Compare'!D344:D351,"Location page")+COUNTIF('Quick Compare'!H344:H351,"Location page"))=MAX((COUNTIF('Quick Compare'!D344:D351,"Homepage")+COUNTIF('Quick Compare'!H344:H351,"Homepage")),(COUNTIF('Quick Compare'!D344:D351,"Service page")+COUNTIF('Quick Compare'!H344:H351,"Service page")),(COUNTIF('Quick Compare'!D344:D351,"Location page")+COUNTIF('Quick Compare'!H344:H351,"Location page")),(COUNTIF('Quick Compare'!D344:D351,"Directory")+COUNTIF('Quick Compare'!H344:H351,"Directory")),(COUNTIF('Quick Compare'!D344:D351,"Blog/FAQ")+COUNTIF('Quick Compare'!H344:H351,"Blog/FAQ")),(COUNTIF('Quick Compare'!D344:D351,"Portfolio/Gallery")+COUNTIF('Quick Compare'!H344:H351,"Portfolio/Gallery")),(COUNTIF('Quick Compare'!D344:D351,"About page")+COUNTIF('Quick Compare'!H344:H351,"About page")),(COUNTIF('Quick Compare'!D344:D351,"Other")+COUNTIF('Quick Compare'!H344:H351,"Other"))),"Location page",IF((COUNTIF('Quick Compare'!D344:D351,"Directory")+COUNTIF('Quick Compare'!H344:H351,"Directory"))=MAX((COUNTIF('Quick Compare'!D344:D351,"Homepage")+COUNTIF('Quick Compare'!H344:H351,"Homepage")),(COUNTIF('Quick Compare'!D344:D351,"Service page")+COUNTIF('Quick Compare'!H344:H351,"Service page")),(COUNTIF('Quick Compare'!D344:D351,"Location page")+COUNTIF('Quick Compare'!H344:H351,"Location page")),(COUNTIF('Quick Compare'!D344:D351,"Directory")+COUNTIF('Quick Compare'!H344:H351,"Directory")),(COUNTIF('Quick Compare'!D344:D351,"Blog/FAQ")+COUNTIF('Quick Compare'!H344:H351,"Blog/FAQ")),(COUNTIF('Quick Compare'!D344:D351,"Portfolio/Gallery")+COUNTIF('Quick Compare'!H344:H351,"Portfolio/Gallery")),(COUNTIF('Quick Compare'!D344:D351,"About page")+COUNTIF('Quick Compare'!H344:H351,"About page")),(COUNTIF('Quick Compare'!D344:D351,"Other")+COUNTIF('Quick Compare'!H344:H351,"Other"))),"Directory",IF((COUNTIF('Quick Compare'!D344:D351,"Blog/FAQ")+COUNTIF('Quick Compare'!H344:H351,"Blog/FAQ"))=MAX((COUNTIF('Quick Compare'!D344:D351,"Homepage")+COUNTIF('Quick Compare'!H344:H351,"Homepage")),(COUNTIF('Quick Compare'!D344:D351,"Service page")+COUNTIF('Quick Compare'!H344:H351,"Service page")),(COUNTIF('Quick Compare'!D344:D351,"Location page")+COUNTIF('Quick Compare'!H344:H351,"Location page")),(COUNTIF('Quick Compare'!D344:D351,"Directory")+COUNTIF('Quick Compare'!H344:H351,"Directory")),(COUNTIF('Quick Compare'!D344:D351,"Blog/FAQ")+COUNTIF('Quick Compare'!H344:H351,"Blog/FAQ")),(COUNTIF('Quick Compare'!D344:D351,"Portfolio/Gallery")+COUNTIF('Quick Compare'!H344:H351,"Portfolio/Gallery")),(COUNTIF('Quick Compare'!D344:D351,"About page")+COUNTIF('Quick Compare'!H344:H351,"About page")),(COUNTIF('Quick Compare'!D344:D351,"Other")+COUNTIF('Quick Compare'!H344:H351,"Other"))),"Blog/FAQ",IF((COUNTIF('Quick Compare'!D344:D351,"Portfolio/Gallery")+COUNTIF('Quick Compare'!H344:H351,"Portfolio/Gallery"))=MAX((COUNTIF('Quick Compare'!D344:D351,"Homepage")+COUNTIF('Quick Compare'!H344:H351,"Homepage")),(COUNTIF('Quick Compare'!D344:D351,"Service page")+COUNTIF('Quick Compare'!H344:H351,"Service page")),(COUNTIF('Quick Compare'!D344:D351,"Location page")+COUNTIF('Quick Compare'!H344:H351,"Location page")),(COUNTIF('Quick Compare'!D344:D351,"Directory")+COUNTIF('Quick Compare'!H344:H351,"Directory")),(COUNTIF('Quick Compare'!D344:D351,"Blog/FAQ")+COUNTIF('Quick Compare'!H344:H351,"Blog/FAQ")),(COUNTIF('Quick Compare'!D344:D351,"Portfolio/Gallery")+COUNTIF('Quick Compare'!H344:H351,"Portfolio/Gallery")),(COUNTIF('Quick Compare'!D344:D351,"About page")+COUNTIF('Quick Compare'!H344:H351,"About page")),(COUNTIF('Quick Compare'!D344:D351,"Other")+COUNTIF('Quick Compare'!H344:H351,"Other"))),"Portfolio/Gallery",IF((COUNTIF('Quick Compare'!D344:D351,"About page")+COUNTIF('Quick Compare'!H344:H351,"About page"))=MAX((COUNTIF('Quick Compare'!D344:D351,"Homepage")+COUNTIF('Quick Compare'!H344:H351,"Homepage")),(COUNTIF('Quick Compare'!D344:D351,"Service page")+COUNTIF('Quick Compare'!H344:H351,"Service page")),(COUNTIF('Quick Compare'!D344:D351,"Location page")+COUNTIF('Quick Compare'!H344:H351,"Location page")),(COUNTIF('Quick Compare'!D344:D351,"Directory")+COUNTIF('Quick Compare'!H344:H351,"Directory")),(COUNTIF('Quick Compare'!D344:D351,"Blog/FAQ")+COUNTIF('Quick Compare'!H344:H351,"Blog/FAQ")),(COUNTIF('Quick Compare'!D344:D351,"Portfolio/Gallery")+COUNTIF('Quick Compare'!H344:H351,"Portfolio/Gallery")),(COUNTIF('Quick Compare'!D344:D351,"About page")+COUNTIF('Quick Compare'!H344:H351,"About page")),(COUNTIF('Quick Compare'!D344:D351,"Other")+COUNTIF('Quick Compare'!H344:H351,"Other"))),"About page","Other"))))))))))</x:f>
      </x:c>
      <x:c r="K18" s="67"/>
      <x:c r="L18" s="67"/>
    </x:row>
    <x:row r="19">
      <x:c r="A19" s="67" t="str">
        <x:f>IF('Quick Compare'!B362="","",'Quick Compare'!B362)</x:f>
      </x:c>
      <x:c r="B19" s="67" t="str">
        <x:f>IF('Quick Compare'!B363="","",'Quick Compare'!B363)</x:f>
      </x:c>
      <x:c r="C19" s="67" t="str">
        <x:f>IF('Quick Compare'!B364="","",'Quick Compare'!B364)</x:f>
      </x:c>
      <x:c r="D19" s="67" t="str">
        <x:f>IF(B19="","",'Quick Compare'!B379)</x:f>
      </x:c>
      <x:c r="E19" s="67" t="str">
        <x:f>IF(B19="","",MAX(0,'Quick Compare'!B380-'Quick Compare'!B379))</x:f>
      </x:c>
      <x:c r="F19" s="67" t="str">
        <x:f>IF(B19="","",'Quick Compare'!B381)</x:f>
      </x:c>
      <x:c r="G19" s="67" t="str">
        <x:f>IF(B19="","",'Quick Compare'!B382)</x:f>
      </x:c>
      <x:c r="H19" s="67"/>
      <x:c r="I19" s="67"/>
      <x:c r="J19" s="67" t="str">
        <x:f>IF(B19="","",IF(MAX((COUNTIF('Quick Compare'!D368:D375,"Homepage")+COUNTIF('Quick Compare'!H368:H375,"Homepage")),(COUNTIF('Quick Compare'!D368:D375,"Service page")+COUNTIF('Quick Compare'!H368:H375,"Service page")),(COUNTIF('Quick Compare'!D368:D375,"Location page")+COUNTIF('Quick Compare'!H368:H375,"Location page")),(COUNTIF('Quick Compare'!D368:D375,"Directory")+COUNTIF('Quick Compare'!H368:H375,"Directory")),(COUNTIF('Quick Compare'!D368:D375,"Blog/FAQ")+COUNTIF('Quick Compare'!H368:H375,"Blog/FAQ")),(COUNTIF('Quick Compare'!D368:D375,"Portfolio/Gallery")+COUNTIF('Quick Compare'!H368:H375,"Portfolio/Gallery")),(COUNTIF('Quick Compare'!D368:D375,"About page")+COUNTIF('Quick Compare'!H368:H375,"About page")),(COUNTIF('Quick Compare'!D368:D375,"Other")+COUNTIF('Quick Compare'!H368:H375,"Other")))=0,"",IF((--((COUNTIF('Quick Compare'!D368:D375,"Homepage")+COUNTIF('Quick Compare'!H368:H375,"Homepage"))=MAX((COUNTIF('Quick Compare'!D368:D375,"Homepage")+COUNTIF('Quick Compare'!H368:H375,"Homepage")),(COUNTIF('Quick Compare'!D368:D375,"Service page")+COUNTIF('Quick Compare'!H368:H375,"Service page")),(COUNTIF('Quick Compare'!D368:D375,"Location page")+COUNTIF('Quick Compare'!H368:H375,"Location page")),(COUNTIF('Quick Compare'!D368:D375,"Directory")+COUNTIF('Quick Compare'!H368:H375,"Directory")),(COUNTIF('Quick Compare'!D368:D375,"Blog/FAQ")+COUNTIF('Quick Compare'!H368:H375,"Blog/FAQ")),(COUNTIF('Quick Compare'!D368:D375,"Portfolio/Gallery")+COUNTIF('Quick Compare'!H368:H375,"Portfolio/Gallery")),(COUNTIF('Quick Compare'!D368:D375,"About page")+COUNTIF('Quick Compare'!H368:H375,"About page")),(COUNTIF('Quick Compare'!D368:D375,"Other")+COUNTIF('Quick Compare'!H368:H375,"Other"))))+--((COUNTIF('Quick Compare'!D368:D375,"Service page")+COUNTIF('Quick Compare'!H368:H375,"Service page"))=MAX((COUNTIF('Quick Compare'!D368:D375,"Homepage")+COUNTIF('Quick Compare'!H368:H375,"Homepage")),(COUNTIF('Quick Compare'!D368:D375,"Service page")+COUNTIF('Quick Compare'!H368:H375,"Service page")),(COUNTIF('Quick Compare'!D368:D375,"Location page")+COUNTIF('Quick Compare'!H368:H375,"Location page")),(COUNTIF('Quick Compare'!D368:D375,"Directory")+COUNTIF('Quick Compare'!H368:H375,"Directory")),(COUNTIF('Quick Compare'!D368:D375,"Blog/FAQ")+COUNTIF('Quick Compare'!H368:H375,"Blog/FAQ")),(COUNTIF('Quick Compare'!D368:D375,"Portfolio/Gallery")+COUNTIF('Quick Compare'!H368:H375,"Portfolio/Gallery")),(COUNTIF('Quick Compare'!D368:D375,"About page")+COUNTIF('Quick Compare'!H368:H375,"About page")),(COUNTIF('Quick Compare'!D368:D375,"Other")+COUNTIF('Quick Compare'!H368:H375,"Other"))))+--((COUNTIF('Quick Compare'!D368:D375,"Location page")+COUNTIF('Quick Compare'!H368:H375,"Location page"))=MAX((COUNTIF('Quick Compare'!D368:D375,"Homepage")+COUNTIF('Quick Compare'!H368:H375,"Homepage")),(COUNTIF('Quick Compare'!D368:D375,"Service page")+COUNTIF('Quick Compare'!H368:H375,"Service page")),(COUNTIF('Quick Compare'!D368:D375,"Location page")+COUNTIF('Quick Compare'!H368:H375,"Location page")),(COUNTIF('Quick Compare'!D368:D375,"Directory")+COUNTIF('Quick Compare'!H368:H375,"Directory")),(COUNTIF('Quick Compare'!D368:D375,"Blog/FAQ")+COUNTIF('Quick Compare'!H368:H375,"Blog/FAQ")),(COUNTIF('Quick Compare'!D368:D375,"Portfolio/Gallery")+COUNTIF('Quick Compare'!H368:H375,"Portfolio/Gallery")),(COUNTIF('Quick Compare'!D368:D375,"About page")+COUNTIF('Quick Compare'!H368:H375,"About page")),(COUNTIF('Quick Compare'!D368:D375,"Other")+COUNTIF('Quick Compare'!H368:H375,"Other"))))+--((COUNTIF('Quick Compare'!D368:D375,"Directory")+COUNTIF('Quick Compare'!H368:H375,"Directory"))=MAX((COUNTIF('Quick Compare'!D368:D375,"Homepage")+COUNTIF('Quick Compare'!H368:H375,"Homepage")),(COUNTIF('Quick Compare'!D368:D375,"Service page")+COUNTIF('Quick Compare'!H368:H375,"Service page")),(COUNTIF('Quick Compare'!D368:D375,"Location page")+COUNTIF('Quick Compare'!H368:H375,"Location page")),(COUNTIF('Quick Compare'!D368:D375,"Directory")+COUNTIF('Quick Compare'!H368:H375,"Directory")),(COUNTIF('Quick Compare'!D368:D375,"Blog/FAQ")+COUNTIF('Quick Compare'!H368:H375,"Blog/FAQ")),(COUNTIF('Quick Compare'!D368:D375,"Portfolio/Gallery")+COUNTIF('Quick Compare'!H368:H375,"Portfolio/Gallery")),(COUNTIF('Quick Compare'!D368:D375,"About page")+COUNTIF('Quick Compare'!H368:H375,"About page")),(COUNTIF('Quick Compare'!D368:D375,"Other")+COUNTIF('Quick Compare'!H368:H375,"Other"))))+--((COUNTIF('Quick Compare'!D368:D375,"Blog/FAQ")+COUNTIF('Quick Compare'!H368:H375,"Blog/FAQ"))=MAX((COUNTIF('Quick Compare'!D368:D375,"Homepage")+COUNTIF('Quick Compare'!H368:H375,"Homepage")),(COUNTIF('Quick Compare'!D368:D375,"Service page")+COUNTIF('Quick Compare'!H368:H375,"Service page")),(COUNTIF('Quick Compare'!D368:D375,"Location page")+COUNTIF('Quick Compare'!H368:H375,"Location page")),(COUNTIF('Quick Compare'!D368:D375,"Directory")+COUNTIF('Quick Compare'!H368:H375,"Directory")),(COUNTIF('Quick Compare'!D368:D375,"Blog/FAQ")+COUNTIF('Quick Compare'!H368:H375,"Blog/FAQ")),(COUNTIF('Quick Compare'!D368:D375,"Portfolio/Gallery")+COUNTIF('Quick Compare'!H368:H375,"Portfolio/Gallery")),(COUNTIF('Quick Compare'!D368:D375,"About page")+COUNTIF('Quick Compare'!H368:H375,"About page")),(COUNTIF('Quick Compare'!D368:D375,"Other")+COUNTIF('Quick Compare'!H368:H375,"Other"))))+--((COUNTIF('Quick Compare'!D368:D375,"Portfolio/Gallery")+COUNTIF('Quick Compare'!H368:H375,"Portfolio/Gallery"))=MAX((COUNTIF('Quick Compare'!D368:D375,"Homepage")+COUNTIF('Quick Compare'!H368:H375,"Homepage")),(COUNTIF('Quick Compare'!D368:D375,"Service page")+COUNTIF('Quick Compare'!H368:H375,"Service page")),(COUNTIF('Quick Compare'!D368:D375,"Location page")+COUNTIF('Quick Compare'!H368:H375,"Location page")),(COUNTIF('Quick Compare'!D368:D375,"Directory")+COUNTIF('Quick Compare'!H368:H375,"Directory")),(COUNTIF('Quick Compare'!D368:D375,"Blog/FAQ")+COUNTIF('Quick Compare'!H368:H375,"Blog/FAQ")),(COUNTIF('Quick Compare'!D368:D375,"Portfolio/Gallery")+COUNTIF('Quick Compare'!H368:H375,"Portfolio/Gallery")),(COUNTIF('Quick Compare'!D368:D375,"About page")+COUNTIF('Quick Compare'!H368:H375,"About page")),(COUNTIF('Quick Compare'!D368:D375,"Other")+COUNTIF('Quick Compare'!H368:H375,"Other"))))+--((COUNTIF('Quick Compare'!D368:D375,"About page")+COUNTIF('Quick Compare'!H368:H375,"About page"))=MAX((COUNTIF('Quick Compare'!D368:D375,"Homepage")+COUNTIF('Quick Compare'!H368:H375,"Homepage")),(COUNTIF('Quick Compare'!D368:D375,"Service page")+COUNTIF('Quick Compare'!H368:H375,"Service page")),(COUNTIF('Quick Compare'!D368:D375,"Location page")+COUNTIF('Quick Compare'!H368:H375,"Location page")),(COUNTIF('Quick Compare'!D368:D375,"Directory")+COUNTIF('Quick Compare'!H368:H375,"Directory")),(COUNTIF('Quick Compare'!D368:D375,"Blog/FAQ")+COUNTIF('Quick Compare'!H368:H375,"Blog/FAQ")),(COUNTIF('Quick Compare'!D368:D375,"Portfolio/Gallery")+COUNTIF('Quick Compare'!H368:H375,"Portfolio/Gallery")),(COUNTIF('Quick Compare'!D368:D375,"About page")+COUNTIF('Quick Compare'!H368:H375,"About page")),(COUNTIF('Quick Compare'!D368:D375,"Other")+COUNTIF('Quick Compare'!H368:H375,"Other"))))+--((COUNTIF('Quick Compare'!D368:D375,"Other")+COUNTIF('Quick Compare'!H368:H375,"Other"))=MAX((COUNTIF('Quick Compare'!D368:D375,"Homepage")+COUNTIF('Quick Compare'!H368:H375,"Homepage")),(COUNTIF('Quick Compare'!D368:D375,"Service page")+COUNTIF('Quick Compare'!H368:H375,"Service page")),(COUNTIF('Quick Compare'!D368:D375,"Location page")+COUNTIF('Quick Compare'!H368:H375,"Location page")),(COUNTIF('Quick Compare'!D368:D375,"Directory")+COUNTIF('Quick Compare'!H368:H375,"Directory")),(COUNTIF('Quick Compare'!D368:D375,"Blog/FAQ")+COUNTIF('Quick Compare'!H368:H375,"Blog/FAQ")),(COUNTIF('Quick Compare'!D368:D375,"Portfolio/Gallery")+COUNTIF('Quick Compare'!H368:H375,"Portfolio/Gallery")),(COUNTIF('Quick Compare'!D368:D375,"About page")+COUNTIF('Quick Compare'!H368:H375,"About page")),(COUNTIF('Quick Compare'!D368:D375,"Other")+COUNTIF('Quick Compare'!H368:H375,"Other")))))&gt;1,"Tie / review",IF((COUNTIF('Quick Compare'!D368:D375,"Homepage")+COUNTIF('Quick Compare'!H368:H375,"Homepage"))=MAX((COUNTIF('Quick Compare'!D368:D375,"Homepage")+COUNTIF('Quick Compare'!H368:H375,"Homepage")),(COUNTIF('Quick Compare'!D368:D375,"Service page")+COUNTIF('Quick Compare'!H368:H375,"Service page")),(COUNTIF('Quick Compare'!D368:D375,"Location page")+COUNTIF('Quick Compare'!H368:H375,"Location page")),(COUNTIF('Quick Compare'!D368:D375,"Directory")+COUNTIF('Quick Compare'!H368:H375,"Directory")),(COUNTIF('Quick Compare'!D368:D375,"Blog/FAQ")+COUNTIF('Quick Compare'!H368:H375,"Blog/FAQ")),(COUNTIF('Quick Compare'!D368:D375,"Portfolio/Gallery")+COUNTIF('Quick Compare'!H368:H375,"Portfolio/Gallery")),(COUNTIF('Quick Compare'!D368:D375,"About page")+COUNTIF('Quick Compare'!H368:H375,"About page")),(COUNTIF('Quick Compare'!D368:D375,"Other")+COUNTIF('Quick Compare'!H368:H375,"Other"))),"Homepage",IF((COUNTIF('Quick Compare'!D368:D375,"Service page")+COUNTIF('Quick Compare'!H368:H375,"Service page"))=MAX((COUNTIF('Quick Compare'!D368:D375,"Homepage")+COUNTIF('Quick Compare'!H368:H375,"Homepage")),(COUNTIF('Quick Compare'!D368:D375,"Service page")+COUNTIF('Quick Compare'!H368:H375,"Service page")),(COUNTIF('Quick Compare'!D368:D375,"Location page")+COUNTIF('Quick Compare'!H368:H375,"Location page")),(COUNTIF('Quick Compare'!D368:D375,"Directory")+COUNTIF('Quick Compare'!H368:H375,"Directory")),(COUNTIF('Quick Compare'!D368:D375,"Blog/FAQ")+COUNTIF('Quick Compare'!H368:H375,"Blog/FAQ")),(COUNTIF('Quick Compare'!D368:D375,"Portfolio/Gallery")+COUNTIF('Quick Compare'!H368:H375,"Portfolio/Gallery")),(COUNTIF('Quick Compare'!D368:D375,"About page")+COUNTIF('Quick Compare'!H368:H375,"About page")),(COUNTIF('Quick Compare'!D368:D375,"Other")+COUNTIF('Quick Compare'!H368:H375,"Other"))),"Service page",IF((COUNTIF('Quick Compare'!D368:D375,"Location page")+COUNTIF('Quick Compare'!H368:H375,"Location page"))=MAX((COUNTIF('Quick Compare'!D368:D375,"Homepage")+COUNTIF('Quick Compare'!H368:H375,"Homepage")),(COUNTIF('Quick Compare'!D368:D375,"Service page")+COUNTIF('Quick Compare'!H368:H375,"Service page")),(COUNTIF('Quick Compare'!D368:D375,"Location page")+COUNTIF('Quick Compare'!H368:H375,"Location page")),(COUNTIF('Quick Compare'!D368:D375,"Directory")+COUNTIF('Quick Compare'!H368:H375,"Directory")),(COUNTIF('Quick Compare'!D368:D375,"Blog/FAQ")+COUNTIF('Quick Compare'!H368:H375,"Blog/FAQ")),(COUNTIF('Quick Compare'!D368:D375,"Portfolio/Gallery")+COUNTIF('Quick Compare'!H368:H375,"Portfolio/Gallery")),(COUNTIF('Quick Compare'!D368:D375,"About page")+COUNTIF('Quick Compare'!H368:H375,"About page")),(COUNTIF('Quick Compare'!D368:D375,"Other")+COUNTIF('Quick Compare'!H368:H375,"Other"))),"Location page",IF((COUNTIF('Quick Compare'!D368:D375,"Directory")+COUNTIF('Quick Compare'!H368:H375,"Directory"))=MAX((COUNTIF('Quick Compare'!D368:D375,"Homepage")+COUNTIF('Quick Compare'!H368:H375,"Homepage")),(COUNTIF('Quick Compare'!D368:D375,"Service page")+COUNTIF('Quick Compare'!H368:H375,"Service page")),(COUNTIF('Quick Compare'!D368:D375,"Location page")+COUNTIF('Quick Compare'!H368:H375,"Location page")),(COUNTIF('Quick Compare'!D368:D375,"Directory")+COUNTIF('Quick Compare'!H368:H375,"Directory")),(COUNTIF('Quick Compare'!D368:D375,"Blog/FAQ")+COUNTIF('Quick Compare'!H368:H375,"Blog/FAQ")),(COUNTIF('Quick Compare'!D368:D375,"Portfolio/Gallery")+COUNTIF('Quick Compare'!H368:H375,"Portfolio/Gallery")),(COUNTIF('Quick Compare'!D368:D375,"About page")+COUNTIF('Quick Compare'!H368:H375,"About page")),(COUNTIF('Quick Compare'!D368:D375,"Other")+COUNTIF('Quick Compare'!H368:H375,"Other"))),"Directory",IF((COUNTIF('Quick Compare'!D368:D375,"Blog/FAQ")+COUNTIF('Quick Compare'!H368:H375,"Blog/FAQ"))=MAX((COUNTIF('Quick Compare'!D368:D375,"Homepage")+COUNTIF('Quick Compare'!H368:H375,"Homepage")),(COUNTIF('Quick Compare'!D368:D375,"Service page")+COUNTIF('Quick Compare'!H368:H375,"Service page")),(COUNTIF('Quick Compare'!D368:D375,"Location page")+COUNTIF('Quick Compare'!H368:H375,"Location page")),(COUNTIF('Quick Compare'!D368:D375,"Directory")+COUNTIF('Quick Compare'!H368:H375,"Directory")),(COUNTIF('Quick Compare'!D368:D375,"Blog/FAQ")+COUNTIF('Quick Compare'!H368:H375,"Blog/FAQ")),(COUNTIF('Quick Compare'!D368:D375,"Portfolio/Gallery")+COUNTIF('Quick Compare'!H368:H375,"Portfolio/Gallery")),(COUNTIF('Quick Compare'!D368:D375,"About page")+COUNTIF('Quick Compare'!H368:H375,"About page")),(COUNTIF('Quick Compare'!D368:D375,"Other")+COUNTIF('Quick Compare'!H368:H375,"Other"))),"Blog/FAQ",IF((COUNTIF('Quick Compare'!D368:D375,"Portfolio/Gallery")+COUNTIF('Quick Compare'!H368:H375,"Portfolio/Gallery"))=MAX((COUNTIF('Quick Compare'!D368:D375,"Homepage")+COUNTIF('Quick Compare'!H368:H375,"Homepage")),(COUNTIF('Quick Compare'!D368:D375,"Service page")+COUNTIF('Quick Compare'!H368:H375,"Service page")),(COUNTIF('Quick Compare'!D368:D375,"Location page")+COUNTIF('Quick Compare'!H368:H375,"Location page")),(COUNTIF('Quick Compare'!D368:D375,"Directory")+COUNTIF('Quick Compare'!H368:H375,"Directory")),(COUNTIF('Quick Compare'!D368:D375,"Blog/FAQ")+COUNTIF('Quick Compare'!H368:H375,"Blog/FAQ")),(COUNTIF('Quick Compare'!D368:D375,"Portfolio/Gallery")+COUNTIF('Quick Compare'!H368:H375,"Portfolio/Gallery")),(COUNTIF('Quick Compare'!D368:D375,"About page")+COUNTIF('Quick Compare'!H368:H375,"About page")),(COUNTIF('Quick Compare'!D368:D375,"Other")+COUNTIF('Quick Compare'!H368:H375,"Other"))),"Portfolio/Gallery",IF((COUNTIF('Quick Compare'!D368:D375,"About page")+COUNTIF('Quick Compare'!H368:H375,"About page"))=MAX((COUNTIF('Quick Compare'!D368:D375,"Homepage")+COUNTIF('Quick Compare'!H368:H375,"Homepage")),(COUNTIF('Quick Compare'!D368:D375,"Service page")+COUNTIF('Quick Compare'!H368:H375,"Service page")),(COUNTIF('Quick Compare'!D368:D375,"Location page")+COUNTIF('Quick Compare'!H368:H375,"Location page")),(COUNTIF('Quick Compare'!D368:D375,"Directory")+COUNTIF('Quick Compare'!H368:H375,"Directory")),(COUNTIF('Quick Compare'!D368:D375,"Blog/FAQ")+COUNTIF('Quick Compare'!H368:H375,"Blog/FAQ")),(COUNTIF('Quick Compare'!D368:D375,"Portfolio/Gallery")+COUNTIF('Quick Compare'!H368:H375,"Portfolio/Gallery")),(COUNTIF('Quick Compare'!D368:D375,"About page")+COUNTIF('Quick Compare'!H368:H375,"About page")),(COUNTIF('Quick Compare'!D368:D375,"Other")+COUNTIF('Quick Compare'!H368:H375,"Other"))),"About page","Other"))))))))))</x:f>
      </x:c>
      <x:c r="K19" s="67"/>
      <x:c r="L19" s="67"/>
    </x:row>
    <x:row r="20">
      <x:c r="A20" s="67" t="str">
        <x:f>IF('Quick Compare'!B386="","",'Quick Compare'!B386)</x:f>
      </x:c>
      <x:c r="B20" s="67" t="str">
        <x:f>IF('Quick Compare'!B387="","",'Quick Compare'!B387)</x:f>
      </x:c>
      <x:c r="C20" s="67" t="str">
        <x:f>IF('Quick Compare'!B388="","",'Quick Compare'!B388)</x:f>
      </x:c>
      <x:c r="D20" s="67" t="str">
        <x:f>IF(B20="","",'Quick Compare'!B403)</x:f>
      </x:c>
      <x:c r="E20" s="67" t="str">
        <x:f>IF(B20="","",MAX(0,'Quick Compare'!B404-'Quick Compare'!B403))</x:f>
      </x:c>
      <x:c r="F20" s="67" t="str">
        <x:f>IF(B20="","",'Quick Compare'!B405)</x:f>
      </x:c>
      <x:c r="G20" s="67" t="str">
        <x:f>IF(B20="","",'Quick Compare'!B406)</x:f>
      </x:c>
      <x:c r="H20" s="67"/>
      <x:c r="I20" s="67"/>
      <x:c r="J20" s="67" t="str">
        <x:f>IF(B20="","",IF(MAX((COUNTIF('Quick Compare'!D392:D399,"Homepage")+COUNTIF('Quick Compare'!H392:H399,"Homepage")),(COUNTIF('Quick Compare'!D392:D399,"Service page")+COUNTIF('Quick Compare'!H392:H399,"Service page")),(COUNTIF('Quick Compare'!D392:D399,"Location page")+COUNTIF('Quick Compare'!H392:H399,"Location page")),(COUNTIF('Quick Compare'!D392:D399,"Directory")+COUNTIF('Quick Compare'!H392:H399,"Directory")),(COUNTIF('Quick Compare'!D392:D399,"Blog/FAQ")+COUNTIF('Quick Compare'!H392:H399,"Blog/FAQ")),(COUNTIF('Quick Compare'!D392:D399,"Portfolio/Gallery")+COUNTIF('Quick Compare'!H392:H399,"Portfolio/Gallery")),(COUNTIF('Quick Compare'!D392:D399,"About page")+COUNTIF('Quick Compare'!H392:H399,"About page")),(COUNTIF('Quick Compare'!D392:D399,"Other")+COUNTIF('Quick Compare'!H392:H399,"Other")))=0,"",IF((--((COUNTIF('Quick Compare'!D392:D399,"Homepage")+COUNTIF('Quick Compare'!H392:H399,"Homepage"))=MAX((COUNTIF('Quick Compare'!D392:D399,"Homepage")+COUNTIF('Quick Compare'!H392:H399,"Homepage")),(COUNTIF('Quick Compare'!D392:D399,"Service page")+COUNTIF('Quick Compare'!H392:H399,"Service page")),(COUNTIF('Quick Compare'!D392:D399,"Location page")+COUNTIF('Quick Compare'!H392:H399,"Location page")),(COUNTIF('Quick Compare'!D392:D399,"Directory")+COUNTIF('Quick Compare'!H392:H399,"Directory")),(COUNTIF('Quick Compare'!D392:D399,"Blog/FAQ")+COUNTIF('Quick Compare'!H392:H399,"Blog/FAQ")),(COUNTIF('Quick Compare'!D392:D399,"Portfolio/Gallery")+COUNTIF('Quick Compare'!H392:H399,"Portfolio/Gallery")),(COUNTIF('Quick Compare'!D392:D399,"About page")+COUNTIF('Quick Compare'!H392:H399,"About page")),(COUNTIF('Quick Compare'!D392:D399,"Other")+COUNTIF('Quick Compare'!H392:H399,"Other"))))+--((COUNTIF('Quick Compare'!D392:D399,"Service page")+COUNTIF('Quick Compare'!H392:H399,"Service page"))=MAX((COUNTIF('Quick Compare'!D392:D399,"Homepage")+COUNTIF('Quick Compare'!H392:H399,"Homepage")),(COUNTIF('Quick Compare'!D392:D399,"Service page")+COUNTIF('Quick Compare'!H392:H399,"Service page")),(COUNTIF('Quick Compare'!D392:D399,"Location page")+COUNTIF('Quick Compare'!H392:H399,"Location page")),(COUNTIF('Quick Compare'!D392:D399,"Directory")+COUNTIF('Quick Compare'!H392:H399,"Directory")),(COUNTIF('Quick Compare'!D392:D399,"Blog/FAQ")+COUNTIF('Quick Compare'!H392:H399,"Blog/FAQ")),(COUNTIF('Quick Compare'!D392:D399,"Portfolio/Gallery")+COUNTIF('Quick Compare'!H392:H399,"Portfolio/Gallery")),(COUNTIF('Quick Compare'!D392:D399,"About page")+COUNTIF('Quick Compare'!H392:H399,"About page")),(COUNTIF('Quick Compare'!D392:D399,"Other")+COUNTIF('Quick Compare'!H392:H399,"Other"))))+--((COUNTIF('Quick Compare'!D392:D399,"Location page")+COUNTIF('Quick Compare'!H392:H399,"Location page"))=MAX((COUNTIF('Quick Compare'!D392:D399,"Homepage")+COUNTIF('Quick Compare'!H392:H399,"Homepage")),(COUNTIF('Quick Compare'!D392:D399,"Service page")+COUNTIF('Quick Compare'!H392:H399,"Service page")),(COUNTIF('Quick Compare'!D392:D399,"Location page")+COUNTIF('Quick Compare'!H392:H399,"Location page")),(COUNTIF('Quick Compare'!D392:D399,"Directory")+COUNTIF('Quick Compare'!H392:H399,"Directory")),(COUNTIF('Quick Compare'!D392:D399,"Blog/FAQ")+COUNTIF('Quick Compare'!H392:H399,"Blog/FAQ")),(COUNTIF('Quick Compare'!D392:D399,"Portfolio/Gallery")+COUNTIF('Quick Compare'!H392:H399,"Portfolio/Gallery")),(COUNTIF('Quick Compare'!D392:D399,"About page")+COUNTIF('Quick Compare'!H392:H399,"About page")),(COUNTIF('Quick Compare'!D392:D399,"Other")+COUNTIF('Quick Compare'!H392:H399,"Other"))))+--((COUNTIF('Quick Compare'!D392:D399,"Directory")+COUNTIF('Quick Compare'!H392:H399,"Directory"))=MAX((COUNTIF('Quick Compare'!D392:D399,"Homepage")+COUNTIF('Quick Compare'!H392:H399,"Homepage")),(COUNTIF('Quick Compare'!D392:D399,"Service page")+COUNTIF('Quick Compare'!H392:H399,"Service page")),(COUNTIF('Quick Compare'!D392:D399,"Location page")+COUNTIF('Quick Compare'!H392:H399,"Location page")),(COUNTIF('Quick Compare'!D392:D399,"Directory")+COUNTIF('Quick Compare'!H392:H399,"Directory")),(COUNTIF('Quick Compare'!D392:D399,"Blog/FAQ")+COUNTIF('Quick Compare'!H392:H399,"Blog/FAQ")),(COUNTIF('Quick Compare'!D392:D399,"Portfolio/Gallery")+COUNTIF('Quick Compare'!H392:H399,"Portfolio/Gallery")),(COUNTIF('Quick Compare'!D392:D399,"About page")+COUNTIF('Quick Compare'!H392:H399,"About page")),(COUNTIF('Quick Compare'!D392:D399,"Other")+COUNTIF('Quick Compare'!H392:H399,"Other"))))+--((COUNTIF('Quick Compare'!D392:D399,"Blog/FAQ")+COUNTIF('Quick Compare'!H392:H399,"Blog/FAQ"))=MAX((COUNTIF('Quick Compare'!D392:D399,"Homepage")+COUNTIF('Quick Compare'!H392:H399,"Homepage")),(COUNTIF('Quick Compare'!D392:D399,"Service page")+COUNTIF('Quick Compare'!H392:H399,"Service page")),(COUNTIF('Quick Compare'!D392:D399,"Location page")+COUNTIF('Quick Compare'!H392:H399,"Location page")),(COUNTIF('Quick Compare'!D392:D399,"Directory")+COUNTIF('Quick Compare'!H392:H399,"Directory")),(COUNTIF('Quick Compare'!D392:D399,"Blog/FAQ")+COUNTIF('Quick Compare'!H392:H399,"Blog/FAQ")),(COUNTIF('Quick Compare'!D392:D399,"Portfolio/Gallery")+COUNTIF('Quick Compare'!H392:H399,"Portfolio/Gallery")),(COUNTIF('Quick Compare'!D392:D399,"About page")+COUNTIF('Quick Compare'!H392:H399,"About page")),(COUNTIF('Quick Compare'!D392:D399,"Other")+COUNTIF('Quick Compare'!H392:H399,"Other"))))+--((COUNTIF('Quick Compare'!D392:D399,"Portfolio/Gallery")+COUNTIF('Quick Compare'!H392:H399,"Portfolio/Gallery"))=MAX((COUNTIF('Quick Compare'!D392:D399,"Homepage")+COUNTIF('Quick Compare'!H392:H399,"Homepage")),(COUNTIF('Quick Compare'!D392:D399,"Service page")+COUNTIF('Quick Compare'!H392:H399,"Service page")),(COUNTIF('Quick Compare'!D392:D399,"Location page")+COUNTIF('Quick Compare'!H392:H399,"Location page")),(COUNTIF('Quick Compare'!D392:D399,"Directory")+COUNTIF('Quick Compare'!H392:H399,"Directory")),(COUNTIF('Quick Compare'!D392:D399,"Blog/FAQ")+COUNTIF('Quick Compare'!H392:H399,"Blog/FAQ")),(COUNTIF('Quick Compare'!D392:D399,"Portfolio/Gallery")+COUNTIF('Quick Compare'!H392:H399,"Portfolio/Gallery")),(COUNTIF('Quick Compare'!D392:D399,"About page")+COUNTIF('Quick Compare'!H392:H399,"About page")),(COUNTIF('Quick Compare'!D392:D399,"Other")+COUNTIF('Quick Compare'!H392:H399,"Other"))))+--((COUNTIF('Quick Compare'!D392:D399,"About page")+COUNTIF('Quick Compare'!H392:H399,"About page"))=MAX((COUNTIF('Quick Compare'!D392:D399,"Homepage")+COUNTIF('Quick Compare'!H392:H399,"Homepage")),(COUNTIF('Quick Compare'!D392:D399,"Service page")+COUNTIF('Quick Compare'!H392:H399,"Service page")),(COUNTIF('Quick Compare'!D392:D399,"Location page")+COUNTIF('Quick Compare'!H392:H399,"Location page")),(COUNTIF('Quick Compare'!D392:D399,"Directory")+COUNTIF('Quick Compare'!H392:H399,"Directory")),(COUNTIF('Quick Compare'!D392:D399,"Blog/FAQ")+COUNTIF('Quick Compare'!H392:H399,"Blog/FAQ")),(COUNTIF('Quick Compare'!D392:D399,"Portfolio/Gallery")+COUNTIF('Quick Compare'!H392:H399,"Portfolio/Gallery")),(COUNTIF('Quick Compare'!D392:D399,"About page")+COUNTIF('Quick Compare'!H392:H399,"About page")),(COUNTIF('Quick Compare'!D392:D399,"Other")+COUNTIF('Quick Compare'!H392:H399,"Other"))))+--((COUNTIF('Quick Compare'!D392:D399,"Other")+COUNTIF('Quick Compare'!H392:H399,"Other"))=MAX((COUNTIF('Quick Compare'!D392:D399,"Homepage")+COUNTIF('Quick Compare'!H392:H399,"Homepage")),(COUNTIF('Quick Compare'!D392:D399,"Service page")+COUNTIF('Quick Compare'!H392:H399,"Service page")),(COUNTIF('Quick Compare'!D392:D399,"Location page")+COUNTIF('Quick Compare'!H392:H399,"Location page")),(COUNTIF('Quick Compare'!D392:D399,"Directory")+COUNTIF('Quick Compare'!H392:H399,"Directory")),(COUNTIF('Quick Compare'!D392:D399,"Blog/FAQ")+COUNTIF('Quick Compare'!H392:H399,"Blog/FAQ")),(COUNTIF('Quick Compare'!D392:D399,"Portfolio/Gallery")+COUNTIF('Quick Compare'!H392:H399,"Portfolio/Gallery")),(COUNTIF('Quick Compare'!D392:D399,"About page")+COUNTIF('Quick Compare'!H392:H399,"About page")),(COUNTIF('Quick Compare'!D392:D399,"Other")+COUNTIF('Quick Compare'!H392:H399,"Other")))))&gt;1,"Tie / review",IF((COUNTIF('Quick Compare'!D392:D399,"Homepage")+COUNTIF('Quick Compare'!H392:H399,"Homepage"))=MAX((COUNTIF('Quick Compare'!D392:D399,"Homepage")+COUNTIF('Quick Compare'!H392:H399,"Homepage")),(COUNTIF('Quick Compare'!D392:D399,"Service page")+COUNTIF('Quick Compare'!H392:H399,"Service page")),(COUNTIF('Quick Compare'!D392:D399,"Location page")+COUNTIF('Quick Compare'!H392:H399,"Location page")),(COUNTIF('Quick Compare'!D392:D399,"Directory")+COUNTIF('Quick Compare'!H392:H399,"Directory")),(COUNTIF('Quick Compare'!D392:D399,"Blog/FAQ")+COUNTIF('Quick Compare'!H392:H399,"Blog/FAQ")),(COUNTIF('Quick Compare'!D392:D399,"Portfolio/Gallery")+COUNTIF('Quick Compare'!H392:H399,"Portfolio/Gallery")),(COUNTIF('Quick Compare'!D392:D399,"About page")+COUNTIF('Quick Compare'!H392:H399,"About page")),(COUNTIF('Quick Compare'!D392:D399,"Other")+COUNTIF('Quick Compare'!H392:H399,"Other"))),"Homepage",IF((COUNTIF('Quick Compare'!D392:D399,"Service page")+COUNTIF('Quick Compare'!H392:H399,"Service page"))=MAX((COUNTIF('Quick Compare'!D392:D399,"Homepage")+COUNTIF('Quick Compare'!H392:H399,"Homepage")),(COUNTIF('Quick Compare'!D392:D399,"Service page")+COUNTIF('Quick Compare'!H392:H399,"Service page")),(COUNTIF('Quick Compare'!D392:D399,"Location page")+COUNTIF('Quick Compare'!H392:H399,"Location page")),(COUNTIF('Quick Compare'!D392:D399,"Directory")+COUNTIF('Quick Compare'!H392:H399,"Directory")),(COUNTIF('Quick Compare'!D392:D399,"Blog/FAQ")+COUNTIF('Quick Compare'!H392:H399,"Blog/FAQ")),(COUNTIF('Quick Compare'!D392:D399,"Portfolio/Gallery")+COUNTIF('Quick Compare'!H392:H399,"Portfolio/Gallery")),(COUNTIF('Quick Compare'!D392:D399,"About page")+COUNTIF('Quick Compare'!H392:H399,"About page")),(COUNTIF('Quick Compare'!D392:D399,"Other")+COUNTIF('Quick Compare'!H392:H399,"Other"))),"Service page",IF((COUNTIF('Quick Compare'!D392:D399,"Location page")+COUNTIF('Quick Compare'!H392:H399,"Location page"))=MAX((COUNTIF('Quick Compare'!D392:D399,"Homepage")+COUNTIF('Quick Compare'!H392:H399,"Homepage")),(COUNTIF('Quick Compare'!D392:D399,"Service page")+COUNTIF('Quick Compare'!H392:H399,"Service page")),(COUNTIF('Quick Compare'!D392:D399,"Location page")+COUNTIF('Quick Compare'!H392:H399,"Location page")),(COUNTIF('Quick Compare'!D392:D399,"Directory")+COUNTIF('Quick Compare'!H392:H399,"Directory")),(COUNTIF('Quick Compare'!D392:D399,"Blog/FAQ")+COUNTIF('Quick Compare'!H392:H399,"Blog/FAQ")),(COUNTIF('Quick Compare'!D392:D399,"Portfolio/Gallery")+COUNTIF('Quick Compare'!H392:H399,"Portfolio/Gallery")),(COUNTIF('Quick Compare'!D392:D399,"About page")+COUNTIF('Quick Compare'!H392:H399,"About page")),(COUNTIF('Quick Compare'!D392:D399,"Other")+COUNTIF('Quick Compare'!H392:H399,"Other"))),"Location page",IF((COUNTIF('Quick Compare'!D392:D399,"Directory")+COUNTIF('Quick Compare'!H392:H399,"Directory"))=MAX((COUNTIF('Quick Compare'!D392:D399,"Homepage")+COUNTIF('Quick Compare'!H392:H399,"Homepage")),(COUNTIF('Quick Compare'!D392:D399,"Service page")+COUNTIF('Quick Compare'!H392:H399,"Service page")),(COUNTIF('Quick Compare'!D392:D399,"Location page")+COUNTIF('Quick Compare'!H392:H399,"Location page")),(COUNTIF('Quick Compare'!D392:D399,"Directory")+COUNTIF('Quick Compare'!H392:H399,"Directory")),(COUNTIF('Quick Compare'!D392:D399,"Blog/FAQ")+COUNTIF('Quick Compare'!H392:H399,"Blog/FAQ")),(COUNTIF('Quick Compare'!D392:D399,"Portfolio/Gallery")+COUNTIF('Quick Compare'!H392:H399,"Portfolio/Gallery")),(COUNTIF('Quick Compare'!D392:D399,"About page")+COUNTIF('Quick Compare'!H392:H399,"About page")),(COUNTIF('Quick Compare'!D392:D399,"Other")+COUNTIF('Quick Compare'!H392:H399,"Other"))),"Directory",IF((COUNTIF('Quick Compare'!D392:D399,"Blog/FAQ")+COUNTIF('Quick Compare'!H392:H399,"Blog/FAQ"))=MAX((COUNTIF('Quick Compare'!D392:D399,"Homepage")+COUNTIF('Quick Compare'!H392:H399,"Homepage")),(COUNTIF('Quick Compare'!D392:D399,"Service page")+COUNTIF('Quick Compare'!H392:H399,"Service page")),(COUNTIF('Quick Compare'!D392:D399,"Location page")+COUNTIF('Quick Compare'!H392:H399,"Location page")),(COUNTIF('Quick Compare'!D392:D399,"Directory")+COUNTIF('Quick Compare'!H392:H399,"Directory")),(COUNTIF('Quick Compare'!D392:D399,"Blog/FAQ")+COUNTIF('Quick Compare'!H392:H399,"Blog/FAQ")),(COUNTIF('Quick Compare'!D392:D399,"Portfolio/Gallery")+COUNTIF('Quick Compare'!H392:H399,"Portfolio/Gallery")),(COUNTIF('Quick Compare'!D392:D399,"About page")+COUNTIF('Quick Compare'!H392:H399,"About page")),(COUNTIF('Quick Compare'!D392:D399,"Other")+COUNTIF('Quick Compare'!H392:H399,"Other"))),"Blog/FAQ",IF((COUNTIF('Quick Compare'!D392:D399,"Portfolio/Gallery")+COUNTIF('Quick Compare'!H392:H399,"Portfolio/Gallery"))=MAX((COUNTIF('Quick Compare'!D392:D399,"Homepage")+COUNTIF('Quick Compare'!H392:H399,"Homepage")),(COUNTIF('Quick Compare'!D392:D399,"Service page")+COUNTIF('Quick Compare'!H392:H399,"Service page")),(COUNTIF('Quick Compare'!D392:D399,"Location page")+COUNTIF('Quick Compare'!H392:H399,"Location page")),(COUNTIF('Quick Compare'!D392:D399,"Directory")+COUNTIF('Quick Compare'!H392:H399,"Directory")),(COUNTIF('Quick Compare'!D392:D399,"Blog/FAQ")+COUNTIF('Quick Compare'!H392:H399,"Blog/FAQ")),(COUNTIF('Quick Compare'!D392:D399,"Portfolio/Gallery")+COUNTIF('Quick Compare'!H392:H399,"Portfolio/Gallery")),(COUNTIF('Quick Compare'!D392:D399,"About page")+COUNTIF('Quick Compare'!H392:H399,"About page")),(COUNTIF('Quick Compare'!D392:D399,"Other")+COUNTIF('Quick Compare'!H392:H399,"Other"))),"Portfolio/Gallery",IF((COUNTIF('Quick Compare'!D392:D399,"About page")+COUNTIF('Quick Compare'!H392:H399,"About page"))=MAX((COUNTIF('Quick Compare'!D392:D399,"Homepage")+COUNTIF('Quick Compare'!H392:H399,"Homepage")),(COUNTIF('Quick Compare'!D392:D399,"Service page")+COUNTIF('Quick Compare'!H392:H399,"Service page")),(COUNTIF('Quick Compare'!D392:D399,"Location page")+COUNTIF('Quick Compare'!H392:H399,"Location page")),(COUNTIF('Quick Compare'!D392:D399,"Directory")+COUNTIF('Quick Compare'!H392:H399,"Directory")),(COUNTIF('Quick Compare'!D392:D399,"Blog/FAQ")+COUNTIF('Quick Compare'!H392:H399,"Blog/FAQ")),(COUNTIF('Quick Compare'!D392:D399,"Portfolio/Gallery")+COUNTIF('Quick Compare'!H392:H399,"Portfolio/Gallery")),(COUNTIF('Quick Compare'!D392:D399,"About page")+COUNTIF('Quick Compare'!H392:H399,"About page")),(COUNTIF('Quick Compare'!D392:D399,"Other")+COUNTIF('Quick Compare'!H392:H399,"Other"))),"About page","Other"))))))))))</x:f>
      </x:c>
      <x:c r="K20" s="67"/>
      <x:c r="L20" s="67"/>
    </x:row>
    <x:row r="21">
      <x:c r="A21" s="67" t="str">
        <x:f>IF('Quick Compare'!B410="","",'Quick Compare'!B410)</x:f>
      </x:c>
      <x:c r="B21" s="67" t="str">
        <x:f>IF('Quick Compare'!B411="","",'Quick Compare'!B411)</x:f>
      </x:c>
      <x:c r="C21" s="67" t="str">
        <x:f>IF('Quick Compare'!B412="","",'Quick Compare'!B412)</x:f>
      </x:c>
      <x:c r="D21" s="67" t="str">
        <x:f>IF(B21="","",'Quick Compare'!B427)</x:f>
      </x:c>
      <x:c r="E21" s="67" t="str">
        <x:f>IF(B21="","",MAX(0,'Quick Compare'!B428-'Quick Compare'!B427))</x:f>
      </x:c>
      <x:c r="F21" s="67" t="str">
        <x:f>IF(B21="","",'Quick Compare'!B429)</x:f>
      </x:c>
      <x:c r="G21" s="67" t="str">
        <x:f>IF(B21="","",'Quick Compare'!B430)</x:f>
      </x:c>
      <x:c r="H21" s="67"/>
      <x:c r="I21" s="67"/>
      <x:c r="J21" s="67" t="str">
        <x:f>IF(B21="","",IF(MAX((COUNTIF('Quick Compare'!D416:D423,"Homepage")+COUNTIF('Quick Compare'!H416:H423,"Homepage")),(COUNTIF('Quick Compare'!D416:D423,"Service page")+COUNTIF('Quick Compare'!H416:H423,"Service page")),(COUNTIF('Quick Compare'!D416:D423,"Location page")+COUNTIF('Quick Compare'!H416:H423,"Location page")),(COUNTIF('Quick Compare'!D416:D423,"Directory")+COUNTIF('Quick Compare'!H416:H423,"Directory")),(COUNTIF('Quick Compare'!D416:D423,"Blog/FAQ")+COUNTIF('Quick Compare'!H416:H423,"Blog/FAQ")),(COUNTIF('Quick Compare'!D416:D423,"Portfolio/Gallery")+COUNTIF('Quick Compare'!H416:H423,"Portfolio/Gallery")),(COUNTIF('Quick Compare'!D416:D423,"About page")+COUNTIF('Quick Compare'!H416:H423,"About page")),(COUNTIF('Quick Compare'!D416:D423,"Other")+COUNTIF('Quick Compare'!H416:H423,"Other")))=0,"",IF((--((COUNTIF('Quick Compare'!D416:D423,"Homepage")+COUNTIF('Quick Compare'!H416:H423,"Homepage"))=MAX((COUNTIF('Quick Compare'!D416:D423,"Homepage")+COUNTIF('Quick Compare'!H416:H423,"Homepage")),(COUNTIF('Quick Compare'!D416:D423,"Service page")+COUNTIF('Quick Compare'!H416:H423,"Service page")),(COUNTIF('Quick Compare'!D416:D423,"Location page")+COUNTIF('Quick Compare'!H416:H423,"Location page")),(COUNTIF('Quick Compare'!D416:D423,"Directory")+COUNTIF('Quick Compare'!H416:H423,"Directory")),(COUNTIF('Quick Compare'!D416:D423,"Blog/FAQ")+COUNTIF('Quick Compare'!H416:H423,"Blog/FAQ")),(COUNTIF('Quick Compare'!D416:D423,"Portfolio/Gallery")+COUNTIF('Quick Compare'!H416:H423,"Portfolio/Gallery")),(COUNTIF('Quick Compare'!D416:D423,"About page")+COUNTIF('Quick Compare'!H416:H423,"About page")),(COUNTIF('Quick Compare'!D416:D423,"Other")+COUNTIF('Quick Compare'!H416:H423,"Other"))))+--((COUNTIF('Quick Compare'!D416:D423,"Service page")+COUNTIF('Quick Compare'!H416:H423,"Service page"))=MAX((COUNTIF('Quick Compare'!D416:D423,"Homepage")+COUNTIF('Quick Compare'!H416:H423,"Homepage")),(COUNTIF('Quick Compare'!D416:D423,"Service page")+COUNTIF('Quick Compare'!H416:H423,"Service page")),(COUNTIF('Quick Compare'!D416:D423,"Location page")+COUNTIF('Quick Compare'!H416:H423,"Location page")),(COUNTIF('Quick Compare'!D416:D423,"Directory")+COUNTIF('Quick Compare'!H416:H423,"Directory")),(COUNTIF('Quick Compare'!D416:D423,"Blog/FAQ")+COUNTIF('Quick Compare'!H416:H423,"Blog/FAQ")),(COUNTIF('Quick Compare'!D416:D423,"Portfolio/Gallery")+COUNTIF('Quick Compare'!H416:H423,"Portfolio/Gallery")),(COUNTIF('Quick Compare'!D416:D423,"About page")+COUNTIF('Quick Compare'!H416:H423,"About page")),(COUNTIF('Quick Compare'!D416:D423,"Other")+COUNTIF('Quick Compare'!H416:H423,"Other"))))+--((COUNTIF('Quick Compare'!D416:D423,"Location page")+COUNTIF('Quick Compare'!H416:H423,"Location page"))=MAX((COUNTIF('Quick Compare'!D416:D423,"Homepage")+COUNTIF('Quick Compare'!H416:H423,"Homepage")),(COUNTIF('Quick Compare'!D416:D423,"Service page")+COUNTIF('Quick Compare'!H416:H423,"Service page")),(COUNTIF('Quick Compare'!D416:D423,"Location page")+COUNTIF('Quick Compare'!H416:H423,"Location page")),(COUNTIF('Quick Compare'!D416:D423,"Directory")+COUNTIF('Quick Compare'!H416:H423,"Directory")),(COUNTIF('Quick Compare'!D416:D423,"Blog/FAQ")+COUNTIF('Quick Compare'!H416:H423,"Blog/FAQ")),(COUNTIF('Quick Compare'!D416:D423,"Portfolio/Gallery")+COUNTIF('Quick Compare'!H416:H423,"Portfolio/Gallery")),(COUNTIF('Quick Compare'!D416:D423,"About page")+COUNTIF('Quick Compare'!H416:H423,"About page")),(COUNTIF('Quick Compare'!D416:D423,"Other")+COUNTIF('Quick Compare'!H416:H423,"Other"))))+--((COUNTIF('Quick Compare'!D416:D423,"Directory")+COUNTIF('Quick Compare'!H416:H423,"Directory"))=MAX((COUNTIF('Quick Compare'!D416:D423,"Homepage")+COUNTIF('Quick Compare'!H416:H423,"Homepage")),(COUNTIF('Quick Compare'!D416:D423,"Service page")+COUNTIF('Quick Compare'!H416:H423,"Service page")),(COUNTIF('Quick Compare'!D416:D423,"Location page")+COUNTIF('Quick Compare'!H416:H423,"Location page")),(COUNTIF('Quick Compare'!D416:D423,"Directory")+COUNTIF('Quick Compare'!H416:H423,"Directory")),(COUNTIF('Quick Compare'!D416:D423,"Blog/FAQ")+COUNTIF('Quick Compare'!H416:H423,"Blog/FAQ")),(COUNTIF('Quick Compare'!D416:D423,"Portfolio/Gallery")+COUNTIF('Quick Compare'!H416:H423,"Portfolio/Gallery")),(COUNTIF('Quick Compare'!D416:D423,"About page")+COUNTIF('Quick Compare'!H416:H423,"About page")),(COUNTIF('Quick Compare'!D416:D423,"Other")+COUNTIF('Quick Compare'!H416:H423,"Other"))))+--((COUNTIF('Quick Compare'!D416:D423,"Blog/FAQ")+COUNTIF('Quick Compare'!H416:H423,"Blog/FAQ"))=MAX((COUNTIF('Quick Compare'!D416:D423,"Homepage")+COUNTIF('Quick Compare'!H416:H423,"Homepage")),(COUNTIF('Quick Compare'!D416:D423,"Service page")+COUNTIF('Quick Compare'!H416:H423,"Service page")),(COUNTIF('Quick Compare'!D416:D423,"Location page")+COUNTIF('Quick Compare'!H416:H423,"Location page")),(COUNTIF('Quick Compare'!D416:D423,"Directory")+COUNTIF('Quick Compare'!H416:H423,"Directory")),(COUNTIF('Quick Compare'!D416:D423,"Blog/FAQ")+COUNTIF('Quick Compare'!H416:H423,"Blog/FAQ")),(COUNTIF('Quick Compare'!D416:D423,"Portfolio/Gallery")+COUNTIF('Quick Compare'!H416:H423,"Portfolio/Gallery")),(COUNTIF('Quick Compare'!D416:D423,"About page")+COUNTIF('Quick Compare'!H416:H423,"About page")),(COUNTIF('Quick Compare'!D416:D423,"Other")+COUNTIF('Quick Compare'!H416:H423,"Other"))))+--((COUNTIF('Quick Compare'!D416:D423,"Portfolio/Gallery")+COUNTIF('Quick Compare'!H416:H423,"Portfolio/Gallery"))=MAX((COUNTIF('Quick Compare'!D416:D423,"Homepage")+COUNTIF('Quick Compare'!H416:H423,"Homepage")),(COUNTIF('Quick Compare'!D416:D423,"Service page")+COUNTIF('Quick Compare'!H416:H423,"Service page")),(COUNTIF('Quick Compare'!D416:D423,"Location page")+COUNTIF('Quick Compare'!H416:H423,"Location page")),(COUNTIF('Quick Compare'!D416:D423,"Directory")+COUNTIF('Quick Compare'!H416:H423,"Directory")),(COUNTIF('Quick Compare'!D416:D423,"Blog/FAQ")+COUNTIF('Quick Compare'!H416:H423,"Blog/FAQ")),(COUNTIF('Quick Compare'!D416:D423,"Portfolio/Gallery")+COUNTIF('Quick Compare'!H416:H423,"Portfolio/Gallery")),(COUNTIF('Quick Compare'!D416:D423,"About page")+COUNTIF('Quick Compare'!H416:H423,"About page")),(COUNTIF('Quick Compare'!D416:D423,"Other")+COUNTIF('Quick Compare'!H416:H423,"Other"))))+--((COUNTIF('Quick Compare'!D416:D423,"About page")+COUNTIF('Quick Compare'!H416:H423,"About page"))=MAX((COUNTIF('Quick Compare'!D416:D423,"Homepage")+COUNTIF('Quick Compare'!H416:H423,"Homepage")),(COUNTIF('Quick Compare'!D416:D423,"Service page")+COUNTIF('Quick Compare'!H416:H423,"Service page")),(COUNTIF('Quick Compare'!D416:D423,"Location page")+COUNTIF('Quick Compare'!H416:H423,"Location page")),(COUNTIF('Quick Compare'!D416:D423,"Directory")+COUNTIF('Quick Compare'!H416:H423,"Directory")),(COUNTIF('Quick Compare'!D416:D423,"Blog/FAQ")+COUNTIF('Quick Compare'!H416:H423,"Blog/FAQ")),(COUNTIF('Quick Compare'!D416:D423,"Portfolio/Gallery")+COUNTIF('Quick Compare'!H416:H423,"Portfolio/Gallery")),(COUNTIF('Quick Compare'!D416:D423,"About page")+COUNTIF('Quick Compare'!H416:H423,"About page")),(COUNTIF('Quick Compare'!D416:D423,"Other")+COUNTIF('Quick Compare'!H416:H423,"Other"))))+--((COUNTIF('Quick Compare'!D416:D423,"Other")+COUNTIF('Quick Compare'!H416:H423,"Other"))=MAX((COUNTIF('Quick Compare'!D416:D423,"Homepage")+COUNTIF('Quick Compare'!H416:H423,"Homepage")),(COUNTIF('Quick Compare'!D416:D423,"Service page")+COUNTIF('Quick Compare'!H416:H423,"Service page")),(COUNTIF('Quick Compare'!D416:D423,"Location page")+COUNTIF('Quick Compare'!H416:H423,"Location page")),(COUNTIF('Quick Compare'!D416:D423,"Directory")+COUNTIF('Quick Compare'!H416:H423,"Directory")),(COUNTIF('Quick Compare'!D416:D423,"Blog/FAQ")+COUNTIF('Quick Compare'!H416:H423,"Blog/FAQ")),(COUNTIF('Quick Compare'!D416:D423,"Portfolio/Gallery")+COUNTIF('Quick Compare'!H416:H423,"Portfolio/Gallery")),(COUNTIF('Quick Compare'!D416:D423,"About page")+COUNTIF('Quick Compare'!H416:H423,"About page")),(COUNTIF('Quick Compare'!D416:D423,"Other")+COUNTIF('Quick Compare'!H416:H423,"Other")))))&gt;1,"Tie / review",IF((COUNTIF('Quick Compare'!D416:D423,"Homepage")+COUNTIF('Quick Compare'!H416:H423,"Homepage"))=MAX((COUNTIF('Quick Compare'!D416:D423,"Homepage")+COUNTIF('Quick Compare'!H416:H423,"Homepage")),(COUNTIF('Quick Compare'!D416:D423,"Service page")+COUNTIF('Quick Compare'!H416:H423,"Service page")),(COUNTIF('Quick Compare'!D416:D423,"Location page")+COUNTIF('Quick Compare'!H416:H423,"Location page")),(COUNTIF('Quick Compare'!D416:D423,"Directory")+COUNTIF('Quick Compare'!H416:H423,"Directory")),(COUNTIF('Quick Compare'!D416:D423,"Blog/FAQ")+COUNTIF('Quick Compare'!H416:H423,"Blog/FAQ")),(COUNTIF('Quick Compare'!D416:D423,"Portfolio/Gallery")+COUNTIF('Quick Compare'!H416:H423,"Portfolio/Gallery")),(COUNTIF('Quick Compare'!D416:D423,"About page")+COUNTIF('Quick Compare'!H416:H423,"About page")),(COUNTIF('Quick Compare'!D416:D423,"Other")+COUNTIF('Quick Compare'!H416:H423,"Other"))),"Homepage",IF((COUNTIF('Quick Compare'!D416:D423,"Service page")+COUNTIF('Quick Compare'!H416:H423,"Service page"))=MAX((COUNTIF('Quick Compare'!D416:D423,"Homepage")+COUNTIF('Quick Compare'!H416:H423,"Homepage")),(COUNTIF('Quick Compare'!D416:D423,"Service page")+COUNTIF('Quick Compare'!H416:H423,"Service page")),(COUNTIF('Quick Compare'!D416:D423,"Location page")+COUNTIF('Quick Compare'!H416:H423,"Location page")),(COUNTIF('Quick Compare'!D416:D423,"Directory")+COUNTIF('Quick Compare'!H416:H423,"Directory")),(COUNTIF('Quick Compare'!D416:D423,"Blog/FAQ")+COUNTIF('Quick Compare'!H416:H423,"Blog/FAQ")),(COUNTIF('Quick Compare'!D416:D423,"Portfolio/Gallery")+COUNTIF('Quick Compare'!H416:H423,"Portfolio/Gallery")),(COUNTIF('Quick Compare'!D416:D423,"About page")+COUNTIF('Quick Compare'!H416:H423,"About page")),(COUNTIF('Quick Compare'!D416:D423,"Other")+COUNTIF('Quick Compare'!H416:H423,"Other"))),"Service page",IF((COUNTIF('Quick Compare'!D416:D423,"Location page")+COUNTIF('Quick Compare'!H416:H423,"Location page"))=MAX((COUNTIF('Quick Compare'!D416:D423,"Homepage")+COUNTIF('Quick Compare'!H416:H423,"Homepage")),(COUNTIF('Quick Compare'!D416:D423,"Service page")+COUNTIF('Quick Compare'!H416:H423,"Service page")),(COUNTIF('Quick Compare'!D416:D423,"Location page")+COUNTIF('Quick Compare'!H416:H423,"Location page")),(COUNTIF('Quick Compare'!D416:D423,"Directory")+COUNTIF('Quick Compare'!H416:H423,"Directory")),(COUNTIF('Quick Compare'!D416:D423,"Blog/FAQ")+COUNTIF('Quick Compare'!H416:H423,"Blog/FAQ")),(COUNTIF('Quick Compare'!D416:D423,"Portfolio/Gallery")+COUNTIF('Quick Compare'!H416:H423,"Portfolio/Gallery")),(COUNTIF('Quick Compare'!D416:D423,"About page")+COUNTIF('Quick Compare'!H416:H423,"About page")),(COUNTIF('Quick Compare'!D416:D423,"Other")+COUNTIF('Quick Compare'!H416:H423,"Other"))),"Location page",IF((COUNTIF('Quick Compare'!D416:D423,"Directory")+COUNTIF('Quick Compare'!H416:H423,"Directory"))=MAX((COUNTIF('Quick Compare'!D416:D423,"Homepage")+COUNTIF('Quick Compare'!H416:H423,"Homepage")),(COUNTIF('Quick Compare'!D416:D423,"Service page")+COUNTIF('Quick Compare'!H416:H423,"Service page")),(COUNTIF('Quick Compare'!D416:D423,"Location page")+COUNTIF('Quick Compare'!H416:H423,"Location page")),(COUNTIF('Quick Compare'!D416:D423,"Directory")+COUNTIF('Quick Compare'!H416:H423,"Directory")),(COUNTIF('Quick Compare'!D416:D423,"Blog/FAQ")+COUNTIF('Quick Compare'!H416:H423,"Blog/FAQ")),(COUNTIF('Quick Compare'!D416:D423,"Portfolio/Gallery")+COUNTIF('Quick Compare'!H416:H423,"Portfolio/Gallery")),(COUNTIF('Quick Compare'!D416:D423,"About page")+COUNTIF('Quick Compare'!H416:H423,"About page")),(COUNTIF('Quick Compare'!D416:D423,"Other")+COUNTIF('Quick Compare'!H416:H423,"Other"))),"Directory",IF((COUNTIF('Quick Compare'!D416:D423,"Blog/FAQ")+COUNTIF('Quick Compare'!H416:H423,"Blog/FAQ"))=MAX((COUNTIF('Quick Compare'!D416:D423,"Homepage")+COUNTIF('Quick Compare'!H416:H423,"Homepage")),(COUNTIF('Quick Compare'!D416:D423,"Service page")+COUNTIF('Quick Compare'!H416:H423,"Service page")),(COUNTIF('Quick Compare'!D416:D423,"Location page")+COUNTIF('Quick Compare'!H416:H423,"Location page")),(COUNTIF('Quick Compare'!D416:D423,"Directory")+COUNTIF('Quick Compare'!H416:H423,"Directory")),(COUNTIF('Quick Compare'!D416:D423,"Blog/FAQ")+COUNTIF('Quick Compare'!H416:H423,"Blog/FAQ")),(COUNTIF('Quick Compare'!D416:D423,"Portfolio/Gallery")+COUNTIF('Quick Compare'!H416:H423,"Portfolio/Gallery")),(COUNTIF('Quick Compare'!D416:D423,"About page")+COUNTIF('Quick Compare'!H416:H423,"About page")),(COUNTIF('Quick Compare'!D416:D423,"Other")+COUNTIF('Quick Compare'!H416:H423,"Other"))),"Blog/FAQ",IF((COUNTIF('Quick Compare'!D416:D423,"Portfolio/Gallery")+COUNTIF('Quick Compare'!H416:H423,"Portfolio/Gallery"))=MAX((COUNTIF('Quick Compare'!D416:D423,"Homepage")+COUNTIF('Quick Compare'!H416:H423,"Homepage")),(COUNTIF('Quick Compare'!D416:D423,"Service page")+COUNTIF('Quick Compare'!H416:H423,"Service page")),(COUNTIF('Quick Compare'!D416:D423,"Location page")+COUNTIF('Quick Compare'!H416:H423,"Location page")),(COUNTIF('Quick Compare'!D416:D423,"Directory")+COUNTIF('Quick Compare'!H416:H423,"Directory")),(COUNTIF('Quick Compare'!D416:D423,"Blog/FAQ")+COUNTIF('Quick Compare'!H416:H423,"Blog/FAQ")),(COUNTIF('Quick Compare'!D416:D423,"Portfolio/Gallery")+COUNTIF('Quick Compare'!H416:H423,"Portfolio/Gallery")),(COUNTIF('Quick Compare'!D416:D423,"About page")+COUNTIF('Quick Compare'!H416:H423,"About page")),(COUNTIF('Quick Compare'!D416:D423,"Other")+COUNTIF('Quick Compare'!H416:H423,"Other"))),"Portfolio/Gallery",IF((COUNTIF('Quick Compare'!D416:D423,"About page")+COUNTIF('Quick Compare'!H416:H423,"About page"))=MAX((COUNTIF('Quick Compare'!D416:D423,"Homepage")+COUNTIF('Quick Compare'!H416:H423,"Homepage")),(COUNTIF('Quick Compare'!D416:D423,"Service page")+COUNTIF('Quick Compare'!H416:H423,"Service page")),(COUNTIF('Quick Compare'!D416:D423,"Location page")+COUNTIF('Quick Compare'!H416:H423,"Location page")),(COUNTIF('Quick Compare'!D416:D423,"Directory")+COUNTIF('Quick Compare'!H416:H423,"Directory")),(COUNTIF('Quick Compare'!D416:D423,"Blog/FAQ")+COUNTIF('Quick Compare'!H416:H423,"Blog/FAQ")),(COUNTIF('Quick Compare'!D416:D423,"Portfolio/Gallery")+COUNTIF('Quick Compare'!H416:H423,"Portfolio/Gallery")),(COUNTIF('Quick Compare'!D416:D423,"About page")+COUNTIF('Quick Compare'!H416:H423,"About page")),(COUNTIF('Quick Compare'!D416:D423,"Other")+COUNTIF('Quick Compare'!H416:H423,"Other"))),"About page","Other"))))))))))</x:f>
      </x:c>
      <x:c r="K21" s="67"/>
      <x:c r="L21" s="67"/>
    </x:row>
    <x:row r="22">
      <x:c r="A22" s="67" t="str">
        <x:f>IF('Quick Compare'!B434="","",'Quick Compare'!B434)</x:f>
      </x:c>
      <x:c r="B22" s="67" t="str">
        <x:f>IF('Quick Compare'!B435="","",'Quick Compare'!B435)</x:f>
      </x:c>
      <x:c r="C22" s="67" t="str">
        <x:f>IF('Quick Compare'!B436="","",'Quick Compare'!B436)</x:f>
      </x:c>
      <x:c r="D22" s="67" t="str">
        <x:f>IF(B22="","",'Quick Compare'!B451)</x:f>
      </x:c>
      <x:c r="E22" s="67" t="str">
        <x:f>IF(B22="","",MAX(0,'Quick Compare'!B452-'Quick Compare'!B451))</x:f>
      </x:c>
      <x:c r="F22" s="67" t="str">
        <x:f>IF(B22="","",'Quick Compare'!B453)</x:f>
      </x:c>
      <x:c r="G22" s="67" t="str">
        <x:f>IF(B22="","",'Quick Compare'!B454)</x:f>
      </x:c>
      <x:c r="H22" s="67"/>
      <x:c r="I22" s="67"/>
      <x:c r="J22" s="67" t="str">
        <x:f>IF(B22="","",IF(MAX((COUNTIF('Quick Compare'!D440:D447,"Homepage")+COUNTIF('Quick Compare'!H440:H447,"Homepage")),(COUNTIF('Quick Compare'!D440:D447,"Service page")+COUNTIF('Quick Compare'!H440:H447,"Service page")),(COUNTIF('Quick Compare'!D440:D447,"Location page")+COUNTIF('Quick Compare'!H440:H447,"Location page")),(COUNTIF('Quick Compare'!D440:D447,"Directory")+COUNTIF('Quick Compare'!H440:H447,"Directory")),(COUNTIF('Quick Compare'!D440:D447,"Blog/FAQ")+COUNTIF('Quick Compare'!H440:H447,"Blog/FAQ")),(COUNTIF('Quick Compare'!D440:D447,"Portfolio/Gallery")+COUNTIF('Quick Compare'!H440:H447,"Portfolio/Gallery")),(COUNTIF('Quick Compare'!D440:D447,"About page")+COUNTIF('Quick Compare'!H440:H447,"About page")),(COUNTIF('Quick Compare'!D440:D447,"Other")+COUNTIF('Quick Compare'!H440:H447,"Other")))=0,"",IF((--((COUNTIF('Quick Compare'!D440:D447,"Homepage")+COUNTIF('Quick Compare'!H440:H447,"Homepage"))=MAX((COUNTIF('Quick Compare'!D440:D447,"Homepage")+COUNTIF('Quick Compare'!H440:H447,"Homepage")),(COUNTIF('Quick Compare'!D440:D447,"Service page")+COUNTIF('Quick Compare'!H440:H447,"Service page")),(COUNTIF('Quick Compare'!D440:D447,"Location page")+COUNTIF('Quick Compare'!H440:H447,"Location page")),(COUNTIF('Quick Compare'!D440:D447,"Directory")+COUNTIF('Quick Compare'!H440:H447,"Directory")),(COUNTIF('Quick Compare'!D440:D447,"Blog/FAQ")+COUNTIF('Quick Compare'!H440:H447,"Blog/FAQ")),(COUNTIF('Quick Compare'!D440:D447,"Portfolio/Gallery")+COUNTIF('Quick Compare'!H440:H447,"Portfolio/Gallery")),(COUNTIF('Quick Compare'!D440:D447,"About page")+COUNTIF('Quick Compare'!H440:H447,"About page")),(COUNTIF('Quick Compare'!D440:D447,"Other")+COUNTIF('Quick Compare'!H440:H447,"Other"))))+--((COUNTIF('Quick Compare'!D440:D447,"Service page")+COUNTIF('Quick Compare'!H440:H447,"Service page"))=MAX((COUNTIF('Quick Compare'!D440:D447,"Homepage")+COUNTIF('Quick Compare'!H440:H447,"Homepage")),(COUNTIF('Quick Compare'!D440:D447,"Service page")+COUNTIF('Quick Compare'!H440:H447,"Service page")),(COUNTIF('Quick Compare'!D440:D447,"Location page")+COUNTIF('Quick Compare'!H440:H447,"Location page")),(COUNTIF('Quick Compare'!D440:D447,"Directory")+COUNTIF('Quick Compare'!H440:H447,"Directory")),(COUNTIF('Quick Compare'!D440:D447,"Blog/FAQ")+COUNTIF('Quick Compare'!H440:H447,"Blog/FAQ")),(COUNTIF('Quick Compare'!D440:D447,"Portfolio/Gallery")+COUNTIF('Quick Compare'!H440:H447,"Portfolio/Gallery")),(COUNTIF('Quick Compare'!D440:D447,"About page")+COUNTIF('Quick Compare'!H440:H447,"About page")),(COUNTIF('Quick Compare'!D440:D447,"Other")+COUNTIF('Quick Compare'!H440:H447,"Other"))))+--((COUNTIF('Quick Compare'!D440:D447,"Location page")+COUNTIF('Quick Compare'!H440:H447,"Location page"))=MAX((COUNTIF('Quick Compare'!D440:D447,"Homepage")+COUNTIF('Quick Compare'!H440:H447,"Homepage")),(COUNTIF('Quick Compare'!D440:D447,"Service page")+COUNTIF('Quick Compare'!H440:H447,"Service page")),(COUNTIF('Quick Compare'!D440:D447,"Location page")+COUNTIF('Quick Compare'!H440:H447,"Location page")),(COUNTIF('Quick Compare'!D440:D447,"Directory")+COUNTIF('Quick Compare'!H440:H447,"Directory")),(COUNTIF('Quick Compare'!D440:D447,"Blog/FAQ")+COUNTIF('Quick Compare'!H440:H447,"Blog/FAQ")),(COUNTIF('Quick Compare'!D440:D447,"Portfolio/Gallery")+COUNTIF('Quick Compare'!H440:H447,"Portfolio/Gallery")),(COUNTIF('Quick Compare'!D440:D447,"About page")+COUNTIF('Quick Compare'!H440:H447,"About page")),(COUNTIF('Quick Compare'!D440:D447,"Other")+COUNTIF('Quick Compare'!H440:H447,"Other"))))+--((COUNTIF('Quick Compare'!D440:D447,"Directory")+COUNTIF('Quick Compare'!H440:H447,"Directory"))=MAX((COUNTIF('Quick Compare'!D440:D447,"Homepage")+COUNTIF('Quick Compare'!H440:H447,"Homepage")),(COUNTIF('Quick Compare'!D440:D447,"Service page")+COUNTIF('Quick Compare'!H440:H447,"Service page")),(COUNTIF('Quick Compare'!D440:D447,"Location page")+COUNTIF('Quick Compare'!H440:H447,"Location page")),(COUNTIF('Quick Compare'!D440:D447,"Directory")+COUNTIF('Quick Compare'!H440:H447,"Directory")),(COUNTIF('Quick Compare'!D440:D447,"Blog/FAQ")+COUNTIF('Quick Compare'!H440:H447,"Blog/FAQ")),(COUNTIF('Quick Compare'!D440:D447,"Portfolio/Gallery")+COUNTIF('Quick Compare'!H440:H447,"Portfolio/Gallery")),(COUNTIF('Quick Compare'!D440:D447,"About page")+COUNTIF('Quick Compare'!H440:H447,"About page")),(COUNTIF('Quick Compare'!D440:D447,"Other")+COUNTIF('Quick Compare'!H440:H447,"Other"))))+--((COUNTIF('Quick Compare'!D440:D447,"Blog/FAQ")+COUNTIF('Quick Compare'!H440:H447,"Blog/FAQ"))=MAX((COUNTIF('Quick Compare'!D440:D447,"Homepage")+COUNTIF('Quick Compare'!H440:H447,"Homepage")),(COUNTIF('Quick Compare'!D440:D447,"Service page")+COUNTIF('Quick Compare'!H440:H447,"Service page")),(COUNTIF('Quick Compare'!D440:D447,"Location page")+COUNTIF('Quick Compare'!H440:H447,"Location page")),(COUNTIF('Quick Compare'!D440:D447,"Directory")+COUNTIF('Quick Compare'!H440:H447,"Directory")),(COUNTIF('Quick Compare'!D440:D447,"Blog/FAQ")+COUNTIF('Quick Compare'!H440:H447,"Blog/FAQ")),(COUNTIF('Quick Compare'!D440:D447,"Portfolio/Gallery")+COUNTIF('Quick Compare'!H440:H447,"Portfolio/Gallery")),(COUNTIF('Quick Compare'!D440:D447,"About page")+COUNTIF('Quick Compare'!H440:H447,"About page")),(COUNTIF('Quick Compare'!D440:D447,"Other")+COUNTIF('Quick Compare'!H440:H447,"Other"))))+--((COUNTIF('Quick Compare'!D440:D447,"Portfolio/Gallery")+COUNTIF('Quick Compare'!H440:H447,"Portfolio/Gallery"))=MAX((COUNTIF('Quick Compare'!D440:D447,"Homepage")+COUNTIF('Quick Compare'!H440:H447,"Homepage")),(COUNTIF('Quick Compare'!D440:D447,"Service page")+COUNTIF('Quick Compare'!H440:H447,"Service page")),(COUNTIF('Quick Compare'!D440:D447,"Location page")+COUNTIF('Quick Compare'!H440:H447,"Location page")),(COUNTIF('Quick Compare'!D440:D447,"Directory")+COUNTIF('Quick Compare'!H440:H447,"Directory")),(COUNTIF('Quick Compare'!D440:D447,"Blog/FAQ")+COUNTIF('Quick Compare'!H440:H447,"Blog/FAQ")),(COUNTIF('Quick Compare'!D440:D447,"Portfolio/Gallery")+COUNTIF('Quick Compare'!H440:H447,"Portfolio/Gallery")),(COUNTIF('Quick Compare'!D440:D447,"About page")+COUNTIF('Quick Compare'!H440:H447,"About page")),(COUNTIF('Quick Compare'!D440:D447,"Other")+COUNTIF('Quick Compare'!H440:H447,"Other"))))+--((COUNTIF('Quick Compare'!D440:D447,"About page")+COUNTIF('Quick Compare'!H440:H447,"About page"))=MAX((COUNTIF('Quick Compare'!D440:D447,"Homepage")+COUNTIF('Quick Compare'!H440:H447,"Homepage")),(COUNTIF('Quick Compare'!D440:D447,"Service page")+COUNTIF('Quick Compare'!H440:H447,"Service page")),(COUNTIF('Quick Compare'!D440:D447,"Location page")+COUNTIF('Quick Compare'!H440:H447,"Location page")),(COUNTIF('Quick Compare'!D440:D447,"Directory")+COUNTIF('Quick Compare'!H440:H447,"Directory")),(COUNTIF('Quick Compare'!D440:D447,"Blog/FAQ")+COUNTIF('Quick Compare'!H440:H447,"Blog/FAQ")),(COUNTIF('Quick Compare'!D440:D447,"Portfolio/Gallery")+COUNTIF('Quick Compare'!H440:H447,"Portfolio/Gallery")),(COUNTIF('Quick Compare'!D440:D447,"About page")+COUNTIF('Quick Compare'!H440:H447,"About page")),(COUNTIF('Quick Compare'!D440:D447,"Other")+COUNTIF('Quick Compare'!H440:H447,"Other"))))+--((COUNTIF('Quick Compare'!D440:D447,"Other")+COUNTIF('Quick Compare'!H440:H447,"Other"))=MAX((COUNTIF('Quick Compare'!D440:D447,"Homepage")+COUNTIF('Quick Compare'!H440:H447,"Homepage")),(COUNTIF('Quick Compare'!D440:D447,"Service page")+COUNTIF('Quick Compare'!H440:H447,"Service page")),(COUNTIF('Quick Compare'!D440:D447,"Location page")+COUNTIF('Quick Compare'!H440:H447,"Location page")),(COUNTIF('Quick Compare'!D440:D447,"Directory")+COUNTIF('Quick Compare'!H440:H447,"Directory")),(COUNTIF('Quick Compare'!D440:D447,"Blog/FAQ")+COUNTIF('Quick Compare'!H440:H447,"Blog/FAQ")),(COUNTIF('Quick Compare'!D440:D447,"Portfolio/Gallery")+COUNTIF('Quick Compare'!H440:H447,"Portfolio/Gallery")),(COUNTIF('Quick Compare'!D440:D447,"About page")+COUNTIF('Quick Compare'!H440:H447,"About page")),(COUNTIF('Quick Compare'!D440:D447,"Other")+COUNTIF('Quick Compare'!H440:H447,"Other")))))&gt;1,"Tie / review",IF((COUNTIF('Quick Compare'!D440:D447,"Homepage")+COUNTIF('Quick Compare'!H440:H447,"Homepage"))=MAX((COUNTIF('Quick Compare'!D440:D447,"Homepage")+COUNTIF('Quick Compare'!H440:H447,"Homepage")),(COUNTIF('Quick Compare'!D440:D447,"Service page")+COUNTIF('Quick Compare'!H440:H447,"Service page")),(COUNTIF('Quick Compare'!D440:D447,"Location page")+COUNTIF('Quick Compare'!H440:H447,"Location page")),(COUNTIF('Quick Compare'!D440:D447,"Directory")+COUNTIF('Quick Compare'!H440:H447,"Directory")),(COUNTIF('Quick Compare'!D440:D447,"Blog/FAQ")+COUNTIF('Quick Compare'!H440:H447,"Blog/FAQ")),(COUNTIF('Quick Compare'!D440:D447,"Portfolio/Gallery")+COUNTIF('Quick Compare'!H440:H447,"Portfolio/Gallery")),(COUNTIF('Quick Compare'!D440:D447,"About page")+COUNTIF('Quick Compare'!H440:H447,"About page")),(COUNTIF('Quick Compare'!D440:D447,"Other")+COUNTIF('Quick Compare'!H440:H447,"Other"))),"Homepage",IF((COUNTIF('Quick Compare'!D440:D447,"Service page")+COUNTIF('Quick Compare'!H440:H447,"Service page"))=MAX((COUNTIF('Quick Compare'!D440:D447,"Homepage")+COUNTIF('Quick Compare'!H440:H447,"Homepage")),(COUNTIF('Quick Compare'!D440:D447,"Service page")+COUNTIF('Quick Compare'!H440:H447,"Service page")),(COUNTIF('Quick Compare'!D440:D447,"Location page")+COUNTIF('Quick Compare'!H440:H447,"Location page")),(COUNTIF('Quick Compare'!D440:D447,"Directory")+COUNTIF('Quick Compare'!H440:H447,"Directory")),(COUNTIF('Quick Compare'!D440:D447,"Blog/FAQ")+COUNTIF('Quick Compare'!H440:H447,"Blog/FAQ")),(COUNTIF('Quick Compare'!D440:D447,"Portfolio/Gallery")+COUNTIF('Quick Compare'!H440:H447,"Portfolio/Gallery")),(COUNTIF('Quick Compare'!D440:D447,"About page")+COUNTIF('Quick Compare'!H440:H447,"About page")),(COUNTIF('Quick Compare'!D440:D447,"Other")+COUNTIF('Quick Compare'!H440:H447,"Other"))),"Service page",IF((COUNTIF('Quick Compare'!D440:D447,"Location page")+COUNTIF('Quick Compare'!H440:H447,"Location page"))=MAX((COUNTIF('Quick Compare'!D440:D447,"Homepage")+COUNTIF('Quick Compare'!H440:H447,"Homepage")),(COUNTIF('Quick Compare'!D440:D447,"Service page")+COUNTIF('Quick Compare'!H440:H447,"Service page")),(COUNTIF('Quick Compare'!D440:D447,"Location page")+COUNTIF('Quick Compare'!H440:H447,"Location page")),(COUNTIF('Quick Compare'!D440:D447,"Directory")+COUNTIF('Quick Compare'!H440:H447,"Directory")),(COUNTIF('Quick Compare'!D440:D447,"Blog/FAQ")+COUNTIF('Quick Compare'!H440:H447,"Blog/FAQ")),(COUNTIF('Quick Compare'!D440:D447,"Portfolio/Gallery")+COUNTIF('Quick Compare'!H440:H447,"Portfolio/Gallery")),(COUNTIF('Quick Compare'!D440:D447,"About page")+COUNTIF('Quick Compare'!H440:H447,"About page")),(COUNTIF('Quick Compare'!D440:D447,"Other")+COUNTIF('Quick Compare'!H440:H447,"Other"))),"Location page",IF((COUNTIF('Quick Compare'!D440:D447,"Directory")+COUNTIF('Quick Compare'!H440:H447,"Directory"))=MAX((COUNTIF('Quick Compare'!D440:D447,"Homepage")+COUNTIF('Quick Compare'!H440:H447,"Homepage")),(COUNTIF('Quick Compare'!D440:D447,"Service page")+COUNTIF('Quick Compare'!H440:H447,"Service page")),(COUNTIF('Quick Compare'!D440:D447,"Location page")+COUNTIF('Quick Compare'!H440:H447,"Location page")),(COUNTIF('Quick Compare'!D440:D447,"Directory")+COUNTIF('Quick Compare'!H440:H447,"Directory")),(COUNTIF('Quick Compare'!D440:D447,"Blog/FAQ")+COUNTIF('Quick Compare'!H440:H447,"Blog/FAQ")),(COUNTIF('Quick Compare'!D440:D447,"Portfolio/Gallery")+COUNTIF('Quick Compare'!H440:H447,"Portfolio/Gallery")),(COUNTIF('Quick Compare'!D440:D447,"About page")+COUNTIF('Quick Compare'!H440:H447,"About page")),(COUNTIF('Quick Compare'!D440:D447,"Other")+COUNTIF('Quick Compare'!H440:H447,"Other"))),"Directory",IF((COUNTIF('Quick Compare'!D440:D447,"Blog/FAQ")+COUNTIF('Quick Compare'!H440:H447,"Blog/FAQ"))=MAX((COUNTIF('Quick Compare'!D440:D447,"Homepage")+COUNTIF('Quick Compare'!H440:H447,"Homepage")),(COUNTIF('Quick Compare'!D440:D447,"Service page")+COUNTIF('Quick Compare'!H440:H447,"Service page")),(COUNTIF('Quick Compare'!D440:D447,"Location page")+COUNTIF('Quick Compare'!H440:H447,"Location page")),(COUNTIF('Quick Compare'!D440:D447,"Directory")+COUNTIF('Quick Compare'!H440:H447,"Directory")),(COUNTIF('Quick Compare'!D440:D447,"Blog/FAQ")+COUNTIF('Quick Compare'!H440:H447,"Blog/FAQ")),(COUNTIF('Quick Compare'!D440:D447,"Portfolio/Gallery")+COUNTIF('Quick Compare'!H440:H447,"Portfolio/Gallery")),(COUNTIF('Quick Compare'!D440:D447,"About page")+COUNTIF('Quick Compare'!H440:H447,"About page")),(COUNTIF('Quick Compare'!D440:D447,"Other")+COUNTIF('Quick Compare'!H440:H447,"Other"))),"Blog/FAQ",IF((COUNTIF('Quick Compare'!D440:D447,"Portfolio/Gallery")+COUNTIF('Quick Compare'!H440:H447,"Portfolio/Gallery"))=MAX((COUNTIF('Quick Compare'!D440:D447,"Homepage")+COUNTIF('Quick Compare'!H440:H447,"Homepage")),(COUNTIF('Quick Compare'!D440:D447,"Service page")+COUNTIF('Quick Compare'!H440:H447,"Service page")),(COUNTIF('Quick Compare'!D440:D447,"Location page")+COUNTIF('Quick Compare'!H440:H447,"Location page")),(COUNTIF('Quick Compare'!D440:D447,"Directory")+COUNTIF('Quick Compare'!H440:H447,"Directory")),(COUNTIF('Quick Compare'!D440:D447,"Blog/FAQ")+COUNTIF('Quick Compare'!H440:H447,"Blog/FAQ")),(COUNTIF('Quick Compare'!D440:D447,"Portfolio/Gallery")+COUNTIF('Quick Compare'!H440:H447,"Portfolio/Gallery")),(COUNTIF('Quick Compare'!D440:D447,"About page")+COUNTIF('Quick Compare'!H440:H447,"About page")),(COUNTIF('Quick Compare'!D440:D447,"Other")+COUNTIF('Quick Compare'!H440:H447,"Other"))),"Portfolio/Gallery",IF((COUNTIF('Quick Compare'!D440:D447,"About page")+COUNTIF('Quick Compare'!H440:H447,"About page"))=MAX((COUNTIF('Quick Compare'!D440:D447,"Homepage")+COUNTIF('Quick Compare'!H440:H447,"Homepage")),(COUNTIF('Quick Compare'!D440:D447,"Service page")+COUNTIF('Quick Compare'!H440:H447,"Service page")),(COUNTIF('Quick Compare'!D440:D447,"Location page")+COUNTIF('Quick Compare'!H440:H447,"Location page")),(COUNTIF('Quick Compare'!D440:D447,"Directory")+COUNTIF('Quick Compare'!H440:H447,"Directory")),(COUNTIF('Quick Compare'!D440:D447,"Blog/FAQ")+COUNTIF('Quick Compare'!H440:H447,"Blog/FAQ")),(COUNTIF('Quick Compare'!D440:D447,"Portfolio/Gallery")+COUNTIF('Quick Compare'!H440:H447,"Portfolio/Gallery")),(COUNTIF('Quick Compare'!D440:D447,"About page")+COUNTIF('Quick Compare'!H440:H447,"About page")),(COUNTIF('Quick Compare'!D440:D447,"Other")+COUNTIF('Quick Compare'!H440:H447,"Other"))),"About page","Other"))))))))))</x:f>
      </x:c>
      <x:c r="K22" s="67"/>
      <x:c r="L22" s="67"/>
    </x:row>
    <x:row r="23">
      <x:c r="A23" s="67" t="str">
        <x:f>IF('Quick Compare'!B458="","",'Quick Compare'!B458)</x:f>
      </x:c>
      <x:c r="B23" s="67" t="str">
        <x:f>IF('Quick Compare'!B459="","",'Quick Compare'!B459)</x:f>
      </x:c>
      <x:c r="C23" s="67" t="str">
        <x:f>IF('Quick Compare'!B460="","",'Quick Compare'!B460)</x:f>
      </x:c>
      <x:c r="D23" s="67" t="str">
        <x:f>IF(B23="","",'Quick Compare'!B475)</x:f>
      </x:c>
      <x:c r="E23" s="67" t="str">
        <x:f>IF(B23="","",MAX(0,'Quick Compare'!B476-'Quick Compare'!B475))</x:f>
      </x:c>
      <x:c r="F23" s="67" t="str">
        <x:f>IF(B23="","",'Quick Compare'!B477)</x:f>
      </x:c>
      <x:c r="G23" s="67" t="str">
        <x:f>IF(B23="","",'Quick Compare'!B478)</x:f>
      </x:c>
      <x:c r="H23" s="67"/>
      <x:c r="I23" s="67"/>
      <x:c r="J23" s="67" t="str">
        <x:f>IF(B23="","",IF(MAX((COUNTIF('Quick Compare'!D464:D471,"Homepage")+COUNTIF('Quick Compare'!H464:H471,"Homepage")),(COUNTIF('Quick Compare'!D464:D471,"Service page")+COUNTIF('Quick Compare'!H464:H471,"Service page")),(COUNTIF('Quick Compare'!D464:D471,"Location page")+COUNTIF('Quick Compare'!H464:H471,"Location page")),(COUNTIF('Quick Compare'!D464:D471,"Directory")+COUNTIF('Quick Compare'!H464:H471,"Directory")),(COUNTIF('Quick Compare'!D464:D471,"Blog/FAQ")+COUNTIF('Quick Compare'!H464:H471,"Blog/FAQ")),(COUNTIF('Quick Compare'!D464:D471,"Portfolio/Gallery")+COUNTIF('Quick Compare'!H464:H471,"Portfolio/Gallery")),(COUNTIF('Quick Compare'!D464:D471,"About page")+COUNTIF('Quick Compare'!H464:H471,"About page")),(COUNTIF('Quick Compare'!D464:D471,"Other")+COUNTIF('Quick Compare'!H464:H471,"Other")))=0,"",IF((--((COUNTIF('Quick Compare'!D464:D471,"Homepage")+COUNTIF('Quick Compare'!H464:H471,"Homepage"))=MAX((COUNTIF('Quick Compare'!D464:D471,"Homepage")+COUNTIF('Quick Compare'!H464:H471,"Homepage")),(COUNTIF('Quick Compare'!D464:D471,"Service page")+COUNTIF('Quick Compare'!H464:H471,"Service page")),(COUNTIF('Quick Compare'!D464:D471,"Location page")+COUNTIF('Quick Compare'!H464:H471,"Location page")),(COUNTIF('Quick Compare'!D464:D471,"Directory")+COUNTIF('Quick Compare'!H464:H471,"Directory")),(COUNTIF('Quick Compare'!D464:D471,"Blog/FAQ")+COUNTIF('Quick Compare'!H464:H471,"Blog/FAQ")),(COUNTIF('Quick Compare'!D464:D471,"Portfolio/Gallery")+COUNTIF('Quick Compare'!H464:H471,"Portfolio/Gallery")),(COUNTIF('Quick Compare'!D464:D471,"About page")+COUNTIF('Quick Compare'!H464:H471,"About page")),(COUNTIF('Quick Compare'!D464:D471,"Other")+COUNTIF('Quick Compare'!H464:H471,"Other"))))+--((COUNTIF('Quick Compare'!D464:D471,"Service page")+COUNTIF('Quick Compare'!H464:H471,"Service page"))=MAX((COUNTIF('Quick Compare'!D464:D471,"Homepage")+COUNTIF('Quick Compare'!H464:H471,"Homepage")),(COUNTIF('Quick Compare'!D464:D471,"Service page")+COUNTIF('Quick Compare'!H464:H471,"Service page")),(COUNTIF('Quick Compare'!D464:D471,"Location page")+COUNTIF('Quick Compare'!H464:H471,"Location page")),(COUNTIF('Quick Compare'!D464:D471,"Directory")+COUNTIF('Quick Compare'!H464:H471,"Directory")),(COUNTIF('Quick Compare'!D464:D471,"Blog/FAQ")+COUNTIF('Quick Compare'!H464:H471,"Blog/FAQ")),(COUNTIF('Quick Compare'!D464:D471,"Portfolio/Gallery")+COUNTIF('Quick Compare'!H464:H471,"Portfolio/Gallery")),(COUNTIF('Quick Compare'!D464:D471,"About page")+COUNTIF('Quick Compare'!H464:H471,"About page")),(COUNTIF('Quick Compare'!D464:D471,"Other")+COUNTIF('Quick Compare'!H464:H471,"Other"))))+--((COUNTIF('Quick Compare'!D464:D471,"Location page")+COUNTIF('Quick Compare'!H464:H471,"Location page"))=MAX((COUNTIF('Quick Compare'!D464:D471,"Homepage")+COUNTIF('Quick Compare'!H464:H471,"Homepage")),(COUNTIF('Quick Compare'!D464:D471,"Service page")+COUNTIF('Quick Compare'!H464:H471,"Service page")),(COUNTIF('Quick Compare'!D464:D471,"Location page")+COUNTIF('Quick Compare'!H464:H471,"Location page")),(COUNTIF('Quick Compare'!D464:D471,"Directory")+COUNTIF('Quick Compare'!H464:H471,"Directory")),(COUNTIF('Quick Compare'!D464:D471,"Blog/FAQ")+COUNTIF('Quick Compare'!H464:H471,"Blog/FAQ")),(COUNTIF('Quick Compare'!D464:D471,"Portfolio/Gallery")+COUNTIF('Quick Compare'!H464:H471,"Portfolio/Gallery")),(COUNTIF('Quick Compare'!D464:D471,"About page")+COUNTIF('Quick Compare'!H464:H471,"About page")),(COUNTIF('Quick Compare'!D464:D471,"Other")+COUNTIF('Quick Compare'!H464:H471,"Other"))))+--((COUNTIF('Quick Compare'!D464:D471,"Directory")+COUNTIF('Quick Compare'!H464:H471,"Directory"))=MAX((COUNTIF('Quick Compare'!D464:D471,"Homepage")+COUNTIF('Quick Compare'!H464:H471,"Homepage")),(COUNTIF('Quick Compare'!D464:D471,"Service page")+COUNTIF('Quick Compare'!H464:H471,"Service page")),(COUNTIF('Quick Compare'!D464:D471,"Location page")+COUNTIF('Quick Compare'!H464:H471,"Location page")),(COUNTIF('Quick Compare'!D464:D471,"Directory")+COUNTIF('Quick Compare'!H464:H471,"Directory")),(COUNTIF('Quick Compare'!D464:D471,"Blog/FAQ")+COUNTIF('Quick Compare'!H464:H471,"Blog/FAQ")),(COUNTIF('Quick Compare'!D464:D471,"Portfolio/Gallery")+COUNTIF('Quick Compare'!H464:H471,"Portfolio/Gallery")),(COUNTIF('Quick Compare'!D464:D471,"About page")+COUNTIF('Quick Compare'!H464:H471,"About page")),(COUNTIF('Quick Compare'!D464:D471,"Other")+COUNTIF('Quick Compare'!H464:H471,"Other"))))+--((COUNTIF('Quick Compare'!D464:D471,"Blog/FAQ")+COUNTIF('Quick Compare'!H464:H471,"Blog/FAQ"))=MAX((COUNTIF('Quick Compare'!D464:D471,"Homepage")+COUNTIF('Quick Compare'!H464:H471,"Homepage")),(COUNTIF('Quick Compare'!D464:D471,"Service page")+COUNTIF('Quick Compare'!H464:H471,"Service page")),(COUNTIF('Quick Compare'!D464:D471,"Location page")+COUNTIF('Quick Compare'!H464:H471,"Location page")),(COUNTIF('Quick Compare'!D464:D471,"Directory")+COUNTIF('Quick Compare'!H464:H471,"Directory")),(COUNTIF('Quick Compare'!D464:D471,"Blog/FAQ")+COUNTIF('Quick Compare'!H464:H471,"Blog/FAQ")),(COUNTIF('Quick Compare'!D464:D471,"Portfolio/Gallery")+COUNTIF('Quick Compare'!H464:H471,"Portfolio/Gallery")),(COUNTIF('Quick Compare'!D464:D471,"About page")+COUNTIF('Quick Compare'!H464:H471,"About page")),(COUNTIF('Quick Compare'!D464:D471,"Other")+COUNTIF('Quick Compare'!H464:H471,"Other"))))+--((COUNTIF('Quick Compare'!D464:D471,"Portfolio/Gallery")+COUNTIF('Quick Compare'!H464:H471,"Portfolio/Gallery"))=MAX((COUNTIF('Quick Compare'!D464:D471,"Homepage")+COUNTIF('Quick Compare'!H464:H471,"Homepage")),(COUNTIF('Quick Compare'!D464:D471,"Service page")+COUNTIF('Quick Compare'!H464:H471,"Service page")),(COUNTIF('Quick Compare'!D464:D471,"Location page")+COUNTIF('Quick Compare'!H464:H471,"Location page")),(COUNTIF('Quick Compare'!D464:D471,"Directory")+COUNTIF('Quick Compare'!H464:H471,"Directory")),(COUNTIF('Quick Compare'!D464:D471,"Blog/FAQ")+COUNTIF('Quick Compare'!H464:H471,"Blog/FAQ")),(COUNTIF('Quick Compare'!D464:D471,"Portfolio/Gallery")+COUNTIF('Quick Compare'!H464:H471,"Portfolio/Gallery")),(COUNTIF('Quick Compare'!D464:D471,"About page")+COUNTIF('Quick Compare'!H464:H471,"About page")),(COUNTIF('Quick Compare'!D464:D471,"Other")+COUNTIF('Quick Compare'!H464:H471,"Other"))))+--((COUNTIF('Quick Compare'!D464:D471,"About page")+COUNTIF('Quick Compare'!H464:H471,"About page"))=MAX((COUNTIF('Quick Compare'!D464:D471,"Homepage")+COUNTIF('Quick Compare'!H464:H471,"Homepage")),(COUNTIF('Quick Compare'!D464:D471,"Service page")+COUNTIF('Quick Compare'!H464:H471,"Service page")),(COUNTIF('Quick Compare'!D464:D471,"Location page")+COUNTIF('Quick Compare'!H464:H471,"Location page")),(COUNTIF('Quick Compare'!D464:D471,"Directory")+COUNTIF('Quick Compare'!H464:H471,"Directory")),(COUNTIF('Quick Compare'!D464:D471,"Blog/FAQ")+COUNTIF('Quick Compare'!H464:H471,"Blog/FAQ")),(COUNTIF('Quick Compare'!D464:D471,"Portfolio/Gallery")+COUNTIF('Quick Compare'!H464:H471,"Portfolio/Gallery")),(COUNTIF('Quick Compare'!D464:D471,"About page")+COUNTIF('Quick Compare'!H464:H471,"About page")),(COUNTIF('Quick Compare'!D464:D471,"Other")+COUNTIF('Quick Compare'!H464:H471,"Other"))))+--((COUNTIF('Quick Compare'!D464:D471,"Other")+COUNTIF('Quick Compare'!H464:H471,"Other"))=MAX((COUNTIF('Quick Compare'!D464:D471,"Homepage")+COUNTIF('Quick Compare'!H464:H471,"Homepage")),(COUNTIF('Quick Compare'!D464:D471,"Service page")+COUNTIF('Quick Compare'!H464:H471,"Service page")),(COUNTIF('Quick Compare'!D464:D471,"Location page")+COUNTIF('Quick Compare'!H464:H471,"Location page")),(COUNTIF('Quick Compare'!D464:D471,"Directory")+COUNTIF('Quick Compare'!H464:H471,"Directory")),(COUNTIF('Quick Compare'!D464:D471,"Blog/FAQ")+COUNTIF('Quick Compare'!H464:H471,"Blog/FAQ")),(COUNTIF('Quick Compare'!D464:D471,"Portfolio/Gallery")+COUNTIF('Quick Compare'!H464:H471,"Portfolio/Gallery")),(COUNTIF('Quick Compare'!D464:D471,"About page")+COUNTIF('Quick Compare'!H464:H471,"About page")),(COUNTIF('Quick Compare'!D464:D471,"Other")+COUNTIF('Quick Compare'!H464:H471,"Other")))))&gt;1,"Tie / review",IF((COUNTIF('Quick Compare'!D464:D471,"Homepage")+COUNTIF('Quick Compare'!H464:H471,"Homepage"))=MAX((COUNTIF('Quick Compare'!D464:D471,"Homepage")+COUNTIF('Quick Compare'!H464:H471,"Homepage")),(COUNTIF('Quick Compare'!D464:D471,"Service page")+COUNTIF('Quick Compare'!H464:H471,"Service page")),(COUNTIF('Quick Compare'!D464:D471,"Location page")+COUNTIF('Quick Compare'!H464:H471,"Location page")),(COUNTIF('Quick Compare'!D464:D471,"Directory")+COUNTIF('Quick Compare'!H464:H471,"Directory")),(COUNTIF('Quick Compare'!D464:D471,"Blog/FAQ")+COUNTIF('Quick Compare'!H464:H471,"Blog/FAQ")),(COUNTIF('Quick Compare'!D464:D471,"Portfolio/Gallery")+COUNTIF('Quick Compare'!H464:H471,"Portfolio/Gallery")),(COUNTIF('Quick Compare'!D464:D471,"About page")+COUNTIF('Quick Compare'!H464:H471,"About page")),(COUNTIF('Quick Compare'!D464:D471,"Other")+COUNTIF('Quick Compare'!H464:H471,"Other"))),"Homepage",IF((COUNTIF('Quick Compare'!D464:D471,"Service page")+COUNTIF('Quick Compare'!H464:H471,"Service page"))=MAX((COUNTIF('Quick Compare'!D464:D471,"Homepage")+COUNTIF('Quick Compare'!H464:H471,"Homepage")),(COUNTIF('Quick Compare'!D464:D471,"Service page")+COUNTIF('Quick Compare'!H464:H471,"Service page")),(COUNTIF('Quick Compare'!D464:D471,"Location page")+COUNTIF('Quick Compare'!H464:H471,"Location page")),(COUNTIF('Quick Compare'!D464:D471,"Directory")+COUNTIF('Quick Compare'!H464:H471,"Directory")),(COUNTIF('Quick Compare'!D464:D471,"Blog/FAQ")+COUNTIF('Quick Compare'!H464:H471,"Blog/FAQ")),(COUNTIF('Quick Compare'!D464:D471,"Portfolio/Gallery")+COUNTIF('Quick Compare'!H464:H471,"Portfolio/Gallery")),(COUNTIF('Quick Compare'!D464:D471,"About page")+COUNTIF('Quick Compare'!H464:H471,"About page")),(COUNTIF('Quick Compare'!D464:D471,"Other")+COUNTIF('Quick Compare'!H464:H471,"Other"))),"Service page",IF((COUNTIF('Quick Compare'!D464:D471,"Location page")+COUNTIF('Quick Compare'!H464:H471,"Location page"))=MAX((COUNTIF('Quick Compare'!D464:D471,"Homepage")+COUNTIF('Quick Compare'!H464:H471,"Homepage")),(COUNTIF('Quick Compare'!D464:D471,"Service page")+COUNTIF('Quick Compare'!H464:H471,"Service page")),(COUNTIF('Quick Compare'!D464:D471,"Location page")+COUNTIF('Quick Compare'!H464:H471,"Location page")),(COUNTIF('Quick Compare'!D464:D471,"Directory")+COUNTIF('Quick Compare'!H464:H471,"Directory")),(COUNTIF('Quick Compare'!D464:D471,"Blog/FAQ")+COUNTIF('Quick Compare'!H464:H471,"Blog/FAQ")),(COUNTIF('Quick Compare'!D464:D471,"Portfolio/Gallery")+COUNTIF('Quick Compare'!H464:H471,"Portfolio/Gallery")),(COUNTIF('Quick Compare'!D464:D471,"About page")+COUNTIF('Quick Compare'!H464:H471,"About page")),(COUNTIF('Quick Compare'!D464:D471,"Other")+COUNTIF('Quick Compare'!H464:H471,"Other"))),"Location page",IF((COUNTIF('Quick Compare'!D464:D471,"Directory")+COUNTIF('Quick Compare'!H464:H471,"Directory"))=MAX((COUNTIF('Quick Compare'!D464:D471,"Homepage")+COUNTIF('Quick Compare'!H464:H471,"Homepage")),(COUNTIF('Quick Compare'!D464:D471,"Service page")+COUNTIF('Quick Compare'!H464:H471,"Service page")),(COUNTIF('Quick Compare'!D464:D471,"Location page")+COUNTIF('Quick Compare'!H464:H471,"Location page")),(COUNTIF('Quick Compare'!D464:D471,"Directory")+COUNTIF('Quick Compare'!H464:H471,"Directory")),(COUNTIF('Quick Compare'!D464:D471,"Blog/FAQ")+COUNTIF('Quick Compare'!H464:H471,"Blog/FAQ")),(COUNTIF('Quick Compare'!D464:D471,"Portfolio/Gallery")+COUNTIF('Quick Compare'!H464:H471,"Portfolio/Gallery")),(COUNTIF('Quick Compare'!D464:D471,"About page")+COUNTIF('Quick Compare'!H464:H471,"About page")),(COUNTIF('Quick Compare'!D464:D471,"Other")+COUNTIF('Quick Compare'!H464:H471,"Other"))),"Directory",IF((COUNTIF('Quick Compare'!D464:D471,"Blog/FAQ")+COUNTIF('Quick Compare'!H464:H471,"Blog/FAQ"))=MAX((COUNTIF('Quick Compare'!D464:D471,"Homepage")+COUNTIF('Quick Compare'!H464:H471,"Homepage")),(COUNTIF('Quick Compare'!D464:D471,"Service page")+COUNTIF('Quick Compare'!H464:H471,"Service page")),(COUNTIF('Quick Compare'!D464:D471,"Location page")+COUNTIF('Quick Compare'!H464:H471,"Location page")),(COUNTIF('Quick Compare'!D464:D471,"Directory")+COUNTIF('Quick Compare'!H464:H471,"Directory")),(COUNTIF('Quick Compare'!D464:D471,"Blog/FAQ")+COUNTIF('Quick Compare'!H464:H471,"Blog/FAQ")),(COUNTIF('Quick Compare'!D464:D471,"Portfolio/Gallery")+COUNTIF('Quick Compare'!H464:H471,"Portfolio/Gallery")),(COUNTIF('Quick Compare'!D464:D471,"About page")+COUNTIF('Quick Compare'!H464:H471,"About page")),(COUNTIF('Quick Compare'!D464:D471,"Other")+COUNTIF('Quick Compare'!H464:H471,"Other"))),"Blog/FAQ",IF((COUNTIF('Quick Compare'!D464:D471,"Portfolio/Gallery")+COUNTIF('Quick Compare'!H464:H471,"Portfolio/Gallery"))=MAX((COUNTIF('Quick Compare'!D464:D471,"Homepage")+COUNTIF('Quick Compare'!H464:H471,"Homepage")),(COUNTIF('Quick Compare'!D464:D471,"Service page")+COUNTIF('Quick Compare'!H464:H471,"Service page")),(COUNTIF('Quick Compare'!D464:D471,"Location page")+COUNTIF('Quick Compare'!H464:H471,"Location page")),(COUNTIF('Quick Compare'!D464:D471,"Directory")+COUNTIF('Quick Compare'!H464:H471,"Directory")),(COUNTIF('Quick Compare'!D464:D471,"Blog/FAQ")+COUNTIF('Quick Compare'!H464:H471,"Blog/FAQ")),(COUNTIF('Quick Compare'!D464:D471,"Portfolio/Gallery")+COUNTIF('Quick Compare'!H464:H471,"Portfolio/Gallery")),(COUNTIF('Quick Compare'!D464:D471,"About page")+COUNTIF('Quick Compare'!H464:H471,"About page")),(COUNTIF('Quick Compare'!D464:D471,"Other")+COUNTIF('Quick Compare'!H464:H471,"Other"))),"Portfolio/Gallery",IF((COUNTIF('Quick Compare'!D464:D471,"About page")+COUNTIF('Quick Compare'!H464:H471,"About page"))=MAX((COUNTIF('Quick Compare'!D464:D471,"Homepage")+COUNTIF('Quick Compare'!H464:H471,"Homepage")),(COUNTIF('Quick Compare'!D464:D471,"Service page")+COUNTIF('Quick Compare'!H464:H471,"Service page")),(COUNTIF('Quick Compare'!D464:D471,"Location page")+COUNTIF('Quick Compare'!H464:H471,"Location page")),(COUNTIF('Quick Compare'!D464:D471,"Directory")+COUNTIF('Quick Compare'!H464:H471,"Directory")),(COUNTIF('Quick Compare'!D464:D471,"Blog/FAQ")+COUNTIF('Quick Compare'!H464:H471,"Blog/FAQ")),(COUNTIF('Quick Compare'!D464:D471,"Portfolio/Gallery")+COUNTIF('Quick Compare'!H464:H471,"Portfolio/Gallery")),(COUNTIF('Quick Compare'!D464:D471,"About page")+COUNTIF('Quick Compare'!H464:H471,"About page")),(COUNTIF('Quick Compare'!D464:D471,"Other")+COUNTIF('Quick Compare'!H464:H471,"Other"))),"About page","Other"))))))))))</x:f>
      </x:c>
      <x:c r="K23" s="67"/>
      <x:c r="L23" s="67"/>
    </x:row>
    <x:row r="24">
      <x:c r="A24" s="67" t="str">
        <x:f>IF('Quick Compare'!B482="","",'Quick Compare'!B482)</x:f>
      </x:c>
      <x:c r="B24" s="67" t="str">
        <x:f>IF('Quick Compare'!B483="","",'Quick Compare'!B483)</x:f>
      </x:c>
      <x:c r="C24" s="67" t="str">
        <x:f>IF('Quick Compare'!B484="","",'Quick Compare'!B484)</x:f>
      </x:c>
      <x:c r="D24" s="67" t="str">
        <x:f>IF(B24="","",'Quick Compare'!B499)</x:f>
      </x:c>
      <x:c r="E24" s="67" t="str">
        <x:f>IF(B24="","",MAX(0,'Quick Compare'!B500-'Quick Compare'!B499))</x:f>
      </x:c>
      <x:c r="F24" s="67" t="str">
        <x:f>IF(B24="","",'Quick Compare'!B501)</x:f>
      </x:c>
      <x:c r="G24" s="67" t="str">
        <x:f>IF(B24="","",'Quick Compare'!B502)</x:f>
      </x:c>
      <x:c r="H24" s="67"/>
      <x:c r="I24" s="67"/>
      <x:c r="J24" s="67" t="str">
        <x:f>IF(B24="","",IF(MAX((COUNTIF('Quick Compare'!D488:D495,"Homepage")+COUNTIF('Quick Compare'!H488:H495,"Homepage")),(COUNTIF('Quick Compare'!D488:D495,"Service page")+COUNTIF('Quick Compare'!H488:H495,"Service page")),(COUNTIF('Quick Compare'!D488:D495,"Location page")+COUNTIF('Quick Compare'!H488:H495,"Location page")),(COUNTIF('Quick Compare'!D488:D495,"Directory")+COUNTIF('Quick Compare'!H488:H495,"Directory")),(COUNTIF('Quick Compare'!D488:D495,"Blog/FAQ")+COUNTIF('Quick Compare'!H488:H495,"Blog/FAQ")),(COUNTIF('Quick Compare'!D488:D495,"Portfolio/Gallery")+COUNTIF('Quick Compare'!H488:H495,"Portfolio/Gallery")),(COUNTIF('Quick Compare'!D488:D495,"About page")+COUNTIF('Quick Compare'!H488:H495,"About page")),(COUNTIF('Quick Compare'!D488:D495,"Other")+COUNTIF('Quick Compare'!H488:H495,"Other")))=0,"",IF((--((COUNTIF('Quick Compare'!D488:D495,"Homepage")+COUNTIF('Quick Compare'!H488:H495,"Homepage"))=MAX((COUNTIF('Quick Compare'!D488:D495,"Homepage")+COUNTIF('Quick Compare'!H488:H495,"Homepage")),(COUNTIF('Quick Compare'!D488:D495,"Service page")+COUNTIF('Quick Compare'!H488:H495,"Service page")),(COUNTIF('Quick Compare'!D488:D495,"Location page")+COUNTIF('Quick Compare'!H488:H495,"Location page")),(COUNTIF('Quick Compare'!D488:D495,"Directory")+COUNTIF('Quick Compare'!H488:H495,"Directory")),(COUNTIF('Quick Compare'!D488:D495,"Blog/FAQ")+COUNTIF('Quick Compare'!H488:H495,"Blog/FAQ")),(COUNTIF('Quick Compare'!D488:D495,"Portfolio/Gallery")+COUNTIF('Quick Compare'!H488:H495,"Portfolio/Gallery")),(COUNTIF('Quick Compare'!D488:D495,"About page")+COUNTIF('Quick Compare'!H488:H495,"About page")),(COUNTIF('Quick Compare'!D488:D495,"Other")+COUNTIF('Quick Compare'!H488:H495,"Other"))))+--((COUNTIF('Quick Compare'!D488:D495,"Service page")+COUNTIF('Quick Compare'!H488:H495,"Service page"))=MAX((COUNTIF('Quick Compare'!D488:D495,"Homepage")+COUNTIF('Quick Compare'!H488:H495,"Homepage")),(COUNTIF('Quick Compare'!D488:D495,"Service page")+COUNTIF('Quick Compare'!H488:H495,"Service page")),(COUNTIF('Quick Compare'!D488:D495,"Location page")+COUNTIF('Quick Compare'!H488:H495,"Location page")),(COUNTIF('Quick Compare'!D488:D495,"Directory")+COUNTIF('Quick Compare'!H488:H495,"Directory")),(COUNTIF('Quick Compare'!D488:D495,"Blog/FAQ")+COUNTIF('Quick Compare'!H488:H495,"Blog/FAQ")),(COUNTIF('Quick Compare'!D488:D495,"Portfolio/Gallery")+COUNTIF('Quick Compare'!H488:H495,"Portfolio/Gallery")),(COUNTIF('Quick Compare'!D488:D495,"About page")+COUNTIF('Quick Compare'!H488:H495,"About page")),(COUNTIF('Quick Compare'!D488:D495,"Other")+COUNTIF('Quick Compare'!H488:H495,"Other"))))+--((COUNTIF('Quick Compare'!D488:D495,"Location page")+COUNTIF('Quick Compare'!H488:H495,"Location page"))=MAX((COUNTIF('Quick Compare'!D488:D495,"Homepage")+COUNTIF('Quick Compare'!H488:H495,"Homepage")),(COUNTIF('Quick Compare'!D488:D495,"Service page")+COUNTIF('Quick Compare'!H488:H495,"Service page")),(COUNTIF('Quick Compare'!D488:D495,"Location page")+COUNTIF('Quick Compare'!H488:H495,"Location page")),(COUNTIF('Quick Compare'!D488:D495,"Directory")+COUNTIF('Quick Compare'!H488:H495,"Directory")),(COUNTIF('Quick Compare'!D488:D495,"Blog/FAQ")+COUNTIF('Quick Compare'!H488:H495,"Blog/FAQ")),(COUNTIF('Quick Compare'!D488:D495,"Portfolio/Gallery")+COUNTIF('Quick Compare'!H488:H495,"Portfolio/Gallery")),(COUNTIF('Quick Compare'!D488:D495,"About page")+COUNTIF('Quick Compare'!H488:H495,"About page")),(COUNTIF('Quick Compare'!D488:D495,"Other")+COUNTIF('Quick Compare'!H488:H495,"Other"))))+--((COUNTIF('Quick Compare'!D488:D495,"Directory")+COUNTIF('Quick Compare'!H488:H495,"Directory"))=MAX((COUNTIF('Quick Compare'!D488:D495,"Homepage")+COUNTIF('Quick Compare'!H488:H495,"Homepage")),(COUNTIF('Quick Compare'!D488:D495,"Service page")+COUNTIF('Quick Compare'!H488:H495,"Service page")),(COUNTIF('Quick Compare'!D488:D495,"Location page")+COUNTIF('Quick Compare'!H488:H495,"Location page")),(COUNTIF('Quick Compare'!D488:D495,"Directory")+COUNTIF('Quick Compare'!H488:H495,"Directory")),(COUNTIF('Quick Compare'!D488:D495,"Blog/FAQ")+COUNTIF('Quick Compare'!H488:H495,"Blog/FAQ")),(COUNTIF('Quick Compare'!D488:D495,"Portfolio/Gallery")+COUNTIF('Quick Compare'!H488:H495,"Portfolio/Gallery")),(COUNTIF('Quick Compare'!D488:D495,"About page")+COUNTIF('Quick Compare'!H488:H495,"About page")),(COUNTIF('Quick Compare'!D488:D495,"Other")+COUNTIF('Quick Compare'!H488:H495,"Other"))))+--((COUNTIF('Quick Compare'!D488:D495,"Blog/FAQ")+COUNTIF('Quick Compare'!H488:H495,"Blog/FAQ"))=MAX((COUNTIF('Quick Compare'!D488:D495,"Homepage")+COUNTIF('Quick Compare'!H488:H495,"Homepage")),(COUNTIF('Quick Compare'!D488:D495,"Service page")+COUNTIF('Quick Compare'!H488:H495,"Service page")),(COUNTIF('Quick Compare'!D488:D495,"Location page")+COUNTIF('Quick Compare'!H488:H495,"Location page")),(COUNTIF('Quick Compare'!D488:D495,"Directory")+COUNTIF('Quick Compare'!H488:H495,"Directory")),(COUNTIF('Quick Compare'!D488:D495,"Blog/FAQ")+COUNTIF('Quick Compare'!H488:H495,"Blog/FAQ")),(COUNTIF('Quick Compare'!D488:D495,"Portfolio/Gallery")+COUNTIF('Quick Compare'!H488:H495,"Portfolio/Gallery")),(COUNTIF('Quick Compare'!D488:D495,"About page")+COUNTIF('Quick Compare'!H488:H495,"About page")),(COUNTIF('Quick Compare'!D488:D495,"Other")+COUNTIF('Quick Compare'!H488:H495,"Other"))))+--((COUNTIF('Quick Compare'!D488:D495,"Portfolio/Gallery")+COUNTIF('Quick Compare'!H488:H495,"Portfolio/Gallery"))=MAX((COUNTIF('Quick Compare'!D488:D495,"Homepage")+COUNTIF('Quick Compare'!H488:H495,"Homepage")),(COUNTIF('Quick Compare'!D488:D495,"Service page")+COUNTIF('Quick Compare'!H488:H495,"Service page")),(COUNTIF('Quick Compare'!D488:D495,"Location page")+COUNTIF('Quick Compare'!H488:H495,"Location page")),(COUNTIF('Quick Compare'!D488:D495,"Directory")+COUNTIF('Quick Compare'!H488:H495,"Directory")),(COUNTIF('Quick Compare'!D488:D495,"Blog/FAQ")+COUNTIF('Quick Compare'!H488:H495,"Blog/FAQ")),(COUNTIF('Quick Compare'!D488:D495,"Portfolio/Gallery")+COUNTIF('Quick Compare'!H488:H495,"Portfolio/Gallery")),(COUNTIF('Quick Compare'!D488:D495,"About page")+COUNTIF('Quick Compare'!H488:H495,"About page")),(COUNTIF('Quick Compare'!D488:D495,"Other")+COUNTIF('Quick Compare'!H488:H495,"Other"))))+--((COUNTIF('Quick Compare'!D488:D495,"About page")+COUNTIF('Quick Compare'!H488:H495,"About page"))=MAX((COUNTIF('Quick Compare'!D488:D495,"Homepage")+COUNTIF('Quick Compare'!H488:H495,"Homepage")),(COUNTIF('Quick Compare'!D488:D495,"Service page")+COUNTIF('Quick Compare'!H488:H495,"Service page")),(COUNTIF('Quick Compare'!D488:D495,"Location page")+COUNTIF('Quick Compare'!H488:H495,"Location page")),(COUNTIF('Quick Compare'!D488:D495,"Directory")+COUNTIF('Quick Compare'!H488:H495,"Directory")),(COUNTIF('Quick Compare'!D488:D495,"Blog/FAQ")+COUNTIF('Quick Compare'!H488:H495,"Blog/FAQ")),(COUNTIF('Quick Compare'!D488:D495,"Portfolio/Gallery")+COUNTIF('Quick Compare'!H488:H495,"Portfolio/Gallery")),(COUNTIF('Quick Compare'!D488:D495,"About page")+COUNTIF('Quick Compare'!H488:H495,"About page")),(COUNTIF('Quick Compare'!D488:D495,"Other")+COUNTIF('Quick Compare'!H488:H495,"Other"))))+--((COUNTIF('Quick Compare'!D488:D495,"Other")+COUNTIF('Quick Compare'!H488:H495,"Other"))=MAX((COUNTIF('Quick Compare'!D488:D495,"Homepage")+COUNTIF('Quick Compare'!H488:H495,"Homepage")),(COUNTIF('Quick Compare'!D488:D495,"Service page")+COUNTIF('Quick Compare'!H488:H495,"Service page")),(COUNTIF('Quick Compare'!D488:D495,"Location page")+COUNTIF('Quick Compare'!H488:H495,"Location page")),(COUNTIF('Quick Compare'!D488:D495,"Directory")+COUNTIF('Quick Compare'!H488:H495,"Directory")),(COUNTIF('Quick Compare'!D488:D495,"Blog/FAQ")+COUNTIF('Quick Compare'!H488:H495,"Blog/FAQ")),(COUNTIF('Quick Compare'!D488:D495,"Portfolio/Gallery")+COUNTIF('Quick Compare'!H488:H495,"Portfolio/Gallery")),(COUNTIF('Quick Compare'!D488:D495,"About page")+COUNTIF('Quick Compare'!H488:H495,"About page")),(COUNTIF('Quick Compare'!D488:D495,"Other")+COUNTIF('Quick Compare'!H488:H495,"Other")))))&gt;1,"Tie / review",IF((COUNTIF('Quick Compare'!D488:D495,"Homepage")+COUNTIF('Quick Compare'!H488:H495,"Homepage"))=MAX((COUNTIF('Quick Compare'!D488:D495,"Homepage")+COUNTIF('Quick Compare'!H488:H495,"Homepage")),(COUNTIF('Quick Compare'!D488:D495,"Service page")+COUNTIF('Quick Compare'!H488:H495,"Service page")),(COUNTIF('Quick Compare'!D488:D495,"Location page")+COUNTIF('Quick Compare'!H488:H495,"Location page")),(COUNTIF('Quick Compare'!D488:D495,"Directory")+COUNTIF('Quick Compare'!H488:H495,"Directory")),(COUNTIF('Quick Compare'!D488:D495,"Blog/FAQ")+COUNTIF('Quick Compare'!H488:H495,"Blog/FAQ")),(COUNTIF('Quick Compare'!D488:D495,"Portfolio/Gallery")+COUNTIF('Quick Compare'!H488:H495,"Portfolio/Gallery")),(COUNTIF('Quick Compare'!D488:D495,"About page")+COUNTIF('Quick Compare'!H488:H495,"About page")),(COUNTIF('Quick Compare'!D488:D495,"Other")+COUNTIF('Quick Compare'!H488:H495,"Other"))),"Homepage",IF((COUNTIF('Quick Compare'!D488:D495,"Service page")+COUNTIF('Quick Compare'!H488:H495,"Service page"))=MAX((COUNTIF('Quick Compare'!D488:D495,"Homepage")+COUNTIF('Quick Compare'!H488:H495,"Homepage")),(COUNTIF('Quick Compare'!D488:D495,"Service page")+COUNTIF('Quick Compare'!H488:H495,"Service page")),(COUNTIF('Quick Compare'!D488:D495,"Location page")+COUNTIF('Quick Compare'!H488:H495,"Location page")),(COUNTIF('Quick Compare'!D488:D495,"Directory")+COUNTIF('Quick Compare'!H488:H495,"Directory")),(COUNTIF('Quick Compare'!D488:D495,"Blog/FAQ")+COUNTIF('Quick Compare'!H488:H495,"Blog/FAQ")),(COUNTIF('Quick Compare'!D488:D495,"Portfolio/Gallery")+COUNTIF('Quick Compare'!H488:H495,"Portfolio/Gallery")),(COUNTIF('Quick Compare'!D488:D495,"About page")+COUNTIF('Quick Compare'!H488:H495,"About page")),(COUNTIF('Quick Compare'!D488:D495,"Other")+COUNTIF('Quick Compare'!H488:H495,"Other"))),"Service page",IF((COUNTIF('Quick Compare'!D488:D495,"Location page")+COUNTIF('Quick Compare'!H488:H495,"Location page"))=MAX((COUNTIF('Quick Compare'!D488:D495,"Homepage")+COUNTIF('Quick Compare'!H488:H495,"Homepage")),(COUNTIF('Quick Compare'!D488:D495,"Service page")+COUNTIF('Quick Compare'!H488:H495,"Service page")),(COUNTIF('Quick Compare'!D488:D495,"Location page")+COUNTIF('Quick Compare'!H488:H495,"Location page")),(COUNTIF('Quick Compare'!D488:D495,"Directory")+COUNTIF('Quick Compare'!H488:H495,"Directory")),(COUNTIF('Quick Compare'!D488:D495,"Blog/FAQ")+COUNTIF('Quick Compare'!H488:H495,"Blog/FAQ")),(COUNTIF('Quick Compare'!D488:D495,"Portfolio/Gallery")+COUNTIF('Quick Compare'!H488:H495,"Portfolio/Gallery")),(COUNTIF('Quick Compare'!D488:D495,"About page")+COUNTIF('Quick Compare'!H488:H495,"About page")),(COUNTIF('Quick Compare'!D488:D495,"Other")+COUNTIF('Quick Compare'!H488:H495,"Other"))),"Location page",IF((COUNTIF('Quick Compare'!D488:D495,"Directory")+COUNTIF('Quick Compare'!H488:H495,"Directory"))=MAX((COUNTIF('Quick Compare'!D488:D495,"Homepage")+COUNTIF('Quick Compare'!H488:H495,"Homepage")),(COUNTIF('Quick Compare'!D488:D495,"Service page")+COUNTIF('Quick Compare'!H488:H495,"Service page")),(COUNTIF('Quick Compare'!D488:D495,"Location page")+COUNTIF('Quick Compare'!H488:H495,"Location page")),(COUNTIF('Quick Compare'!D488:D495,"Directory")+COUNTIF('Quick Compare'!H488:H495,"Directory")),(COUNTIF('Quick Compare'!D488:D495,"Blog/FAQ")+COUNTIF('Quick Compare'!H488:H495,"Blog/FAQ")),(COUNTIF('Quick Compare'!D488:D495,"Portfolio/Gallery")+COUNTIF('Quick Compare'!H488:H495,"Portfolio/Gallery")),(COUNTIF('Quick Compare'!D488:D495,"About page")+COUNTIF('Quick Compare'!H488:H495,"About page")),(COUNTIF('Quick Compare'!D488:D495,"Other")+COUNTIF('Quick Compare'!H488:H495,"Other"))),"Directory",IF((COUNTIF('Quick Compare'!D488:D495,"Blog/FAQ")+COUNTIF('Quick Compare'!H488:H495,"Blog/FAQ"))=MAX((COUNTIF('Quick Compare'!D488:D495,"Homepage")+COUNTIF('Quick Compare'!H488:H495,"Homepage")),(COUNTIF('Quick Compare'!D488:D495,"Service page")+COUNTIF('Quick Compare'!H488:H495,"Service page")),(COUNTIF('Quick Compare'!D488:D495,"Location page")+COUNTIF('Quick Compare'!H488:H495,"Location page")),(COUNTIF('Quick Compare'!D488:D495,"Directory")+COUNTIF('Quick Compare'!H488:H495,"Directory")),(COUNTIF('Quick Compare'!D488:D495,"Blog/FAQ")+COUNTIF('Quick Compare'!H488:H495,"Blog/FAQ")),(COUNTIF('Quick Compare'!D488:D495,"Portfolio/Gallery")+COUNTIF('Quick Compare'!H488:H495,"Portfolio/Gallery")),(COUNTIF('Quick Compare'!D488:D495,"About page")+COUNTIF('Quick Compare'!H488:H495,"About page")),(COUNTIF('Quick Compare'!D488:D495,"Other")+COUNTIF('Quick Compare'!H488:H495,"Other"))),"Blog/FAQ",IF((COUNTIF('Quick Compare'!D488:D495,"Portfolio/Gallery")+COUNTIF('Quick Compare'!H488:H495,"Portfolio/Gallery"))=MAX((COUNTIF('Quick Compare'!D488:D495,"Homepage")+COUNTIF('Quick Compare'!H488:H495,"Homepage")),(COUNTIF('Quick Compare'!D488:D495,"Service page")+COUNTIF('Quick Compare'!H488:H495,"Service page")),(COUNTIF('Quick Compare'!D488:D495,"Location page")+COUNTIF('Quick Compare'!H488:H495,"Location page")),(COUNTIF('Quick Compare'!D488:D495,"Directory")+COUNTIF('Quick Compare'!H488:H495,"Directory")),(COUNTIF('Quick Compare'!D488:D495,"Blog/FAQ")+COUNTIF('Quick Compare'!H488:H495,"Blog/FAQ")),(COUNTIF('Quick Compare'!D488:D495,"Portfolio/Gallery")+COUNTIF('Quick Compare'!H488:H495,"Portfolio/Gallery")),(COUNTIF('Quick Compare'!D488:D495,"About page")+COUNTIF('Quick Compare'!H488:H495,"About page")),(COUNTIF('Quick Compare'!D488:D495,"Other")+COUNTIF('Quick Compare'!H488:H495,"Other"))),"Portfolio/Gallery",IF((COUNTIF('Quick Compare'!D488:D495,"About page")+COUNTIF('Quick Compare'!H488:H495,"About page"))=MAX((COUNTIF('Quick Compare'!D488:D495,"Homepage")+COUNTIF('Quick Compare'!H488:H495,"Homepage")),(COUNTIF('Quick Compare'!D488:D495,"Service page")+COUNTIF('Quick Compare'!H488:H495,"Service page")),(COUNTIF('Quick Compare'!D488:D495,"Location page")+COUNTIF('Quick Compare'!H488:H495,"Location page")),(COUNTIF('Quick Compare'!D488:D495,"Directory")+COUNTIF('Quick Compare'!H488:H495,"Directory")),(COUNTIF('Quick Compare'!D488:D495,"Blog/FAQ")+COUNTIF('Quick Compare'!H488:H495,"Blog/FAQ")),(COUNTIF('Quick Compare'!D488:D495,"Portfolio/Gallery")+COUNTIF('Quick Compare'!H488:H495,"Portfolio/Gallery")),(COUNTIF('Quick Compare'!D488:D495,"About page")+COUNTIF('Quick Compare'!H488:H495,"About page")),(COUNTIF('Quick Compare'!D488:D495,"Other")+COUNTIF('Quick Compare'!H488:H495,"Other"))),"About page","Other"))))))))))</x:f>
      </x:c>
      <x:c r="K24" s="67"/>
      <x:c r="L24" s="67"/>
    </x:row>
    <x:row r="25">
      <x:c r="A25" s="67" t="str">
        <x:f>IF('Quick Compare'!B506="","",'Quick Compare'!B506)</x:f>
      </x:c>
      <x:c r="B25" s="67" t="str">
        <x:f>IF('Quick Compare'!B507="","",'Quick Compare'!B507)</x:f>
      </x:c>
      <x:c r="C25" s="67" t="str">
        <x:f>IF('Quick Compare'!B508="","",'Quick Compare'!B508)</x:f>
      </x:c>
      <x:c r="D25" s="67" t="str">
        <x:f>IF(B25="","",'Quick Compare'!B523)</x:f>
      </x:c>
      <x:c r="E25" s="67" t="str">
        <x:f>IF(B25="","",MAX(0,'Quick Compare'!B524-'Quick Compare'!B523))</x:f>
      </x:c>
      <x:c r="F25" s="67" t="str">
        <x:f>IF(B25="","",'Quick Compare'!B525)</x:f>
      </x:c>
      <x:c r="G25" s="67" t="str">
        <x:f>IF(B25="","",'Quick Compare'!B526)</x:f>
      </x:c>
      <x:c r="H25" s="67"/>
      <x:c r="I25" s="67"/>
      <x:c r="J25" s="67" t="str">
        <x:f>IF(B25="","",IF(MAX((COUNTIF('Quick Compare'!D512:D519,"Homepage")+COUNTIF('Quick Compare'!H512:H519,"Homepage")),(COUNTIF('Quick Compare'!D512:D519,"Service page")+COUNTIF('Quick Compare'!H512:H519,"Service page")),(COUNTIF('Quick Compare'!D512:D519,"Location page")+COUNTIF('Quick Compare'!H512:H519,"Location page")),(COUNTIF('Quick Compare'!D512:D519,"Directory")+COUNTIF('Quick Compare'!H512:H519,"Directory")),(COUNTIF('Quick Compare'!D512:D519,"Blog/FAQ")+COUNTIF('Quick Compare'!H512:H519,"Blog/FAQ")),(COUNTIF('Quick Compare'!D512:D519,"Portfolio/Gallery")+COUNTIF('Quick Compare'!H512:H519,"Portfolio/Gallery")),(COUNTIF('Quick Compare'!D512:D519,"About page")+COUNTIF('Quick Compare'!H512:H519,"About page")),(COUNTIF('Quick Compare'!D512:D519,"Other")+COUNTIF('Quick Compare'!H512:H519,"Other")))=0,"",IF((--((COUNTIF('Quick Compare'!D512:D519,"Homepage")+COUNTIF('Quick Compare'!H512:H519,"Homepage"))=MAX((COUNTIF('Quick Compare'!D512:D519,"Homepage")+COUNTIF('Quick Compare'!H512:H519,"Homepage")),(COUNTIF('Quick Compare'!D512:D519,"Service page")+COUNTIF('Quick Compare'!H512:H519,"Service page")),(COUNTIF('Quick Compare'!D512:D519,"Location page")+COUNTIF('Quick Compare'!H512:H519,"Location page")),(COUNTIF('Quick Compare'!D512:D519,"Directory")+COUNTIF('Quick Compare'!H512:H519,"Directory")),(COUNTIF('Quick Compare'!D512:D519,"Blog/FAQ")+COUNTIF('Quick Compare'!H512:H519,"Blog/FAQ")),(COUNTIF('Quick Compare'!D512:D519,"Portfolio/Gallery")+COUNTIF('Quick Compare'!H512:H519,"Portfolio/Gallery")),(COUNTIF('Quick Compare'!D512:D519,"About page")+COUNTIF('Quick Compare'!H512:H519,"About page")),(COUNTIF('Quick Compare'!D512:D519,"Other")+COUNTIF('Quick Compare'!H512:H519,"Other"))))+--((COUNTIF('Quick Compare'!D512:D519,"Service page")+COUNTIF('Quick Compare'!H512:H519,"Service page"))=MAX((COUNTIF('Quick Compare'!D512:D519,"Homepage")+COUNTIF('Quick Compare'!H512:H519,"Homepage")),(COUNTIF('Quick Compare'!D512:D519,"Service page")+COUNTIF('Quick Compare'!H512:H519,"Service page")),(COUNTIF('Quick Compare'!D512:D519,"Location page")+COUNTIF('Quick Compare'!H512:H519,"Location page")),(COUNTIF('Quick Compare'!D512:D519,"Directory")+COUNTIF('Quick Compare'!H512:H519,"Directory")),(COUNTIF('Quick Compare'!D512:D519,"Blog/FAQ")+COUNTIF('Quick Compare'!H512:H519,"Blog/FAQ")),(COUNTIF('Quick Compare'!D512:D519,"Portfolio/Gallery")+COUNTIF('Quick Compare'!H512:H519,"Portfolio/Gallery")),(COUNTIF('Quick Compare'!D512:D519,"About page")+COUNTIF('Quick Compare'!H512:H519,"About page")),(COUNTIF('Quick Compare'!D512:D519,"Other")+COUNTIF('Quick Compare'!H512:H519,"Other"))))+--((COUNTIF('Quick Compare'!D512:D519,"Location page")+COUNTIF('Quick Compare'!H512:H519,"Location page"))=MAX((COUNTIF('Quick Compare'!D512:D519,"Homepage")+COUNTIF('Quick Compare'!H512:H519,"Homepage")),(COUNTIF('Quick Compare'!D512:D519,"Service page")+COUNTIF('Quick Compare'!H512:H519,"Service page")),(COUNTIF('Quick Compare'!D512:D519,"Location page")+COUNTIF('Quick Compare'!H512:H519,"Location page")),(COUNTIF('Quick Compare'!D512:D519,"Directory")+COUNTIF('Quick Compare'!H512:H519,"Directory")),(COUNTIF('Quick Compare'!D512:D519,"Blog/FAQ")+COUNTIF('Quick Compare'!H512:H519,"Blog/FAQ")),(COUNTIF('Quick Compare'!D512:D519,"Portfolio/Gallery")+COUNTIF('Quick Compare'!H512:H519,"Portfolio/Gallery")),(COUNTIF('Quick Compare'!D512:D519,"About page")+COUNTIF('Quick Compare'!H512:H519,"About page")),(COUNTIF('Quick Compare'!D512:D519,"Other")+COUNTIF('Quick Compare'!H512:H519,"Other"))))+--((COUNTIF('Quick Compare'!D512:D519,"Directory")+COUNTIF('Quick Compare'!H512:H519,"Directory"))=MAX((COUNTIF('Quick Compare'!D512:D519,"Homepage")+COUNTIF('Quick Compare'!H512:H519,"Homepage")),(COUNTIF('Quick Compare'!D512:D519,"Service page")+COUNTIF('Quick Compare'!H512:H519,"Service page")),(COUNTIF('Quick Compare'!D512:D519,"Location page")+COUNTIF('Quick Compare'!H512:H519,"Location page")),(COUNTIF('Quick Compare'!D512:D519,"Directory")+COUNTIF('Quick Compare'!H512:H519,"Directory")),(COUNTIF('Quick Compare'!D512:D519,"Blog/FAQ")+COUNTIF('Quick Compare'!H512:H519,"Blog/FAQ")),(COUNTIF('Quick Compare'!D512:D519,"Portfolio/Gallery")+COUNTIF('Quick Compare'!H512:H519,"Portfolio/Gallery")),(COUNTIF('Quick Compare'!D512:D519,"About page")+COUNTIF('Quick Compare'!H512:H519,"About page")),(COUNTIF('Quick Compare'!D512:D519,"Other")+COUNTIF('Quick Compare'!H512:H519,"Other"))))+--((COUNTIF('Quick Compare'!D512:D519,"Blog/FAQ")+COUNTIF('Quick Compare'!H512:H519,"Blog/FAQ"))=MAX((COUNTIF('Quick Compare'!D512:D519,"Homepage")+COUNTIF('Quick Compare'!H512:H519,"Homepage")),(COUNTIF('Quick Compare'!D512:D519,"Service page")+COUNTIF('Quick Compare'!H512:H519,"Service page")),(COUNTIF('Quick Compare'!D512:D519,"Location page")+COUNTIF('Quick Compare'!H512:H519,"Location page")),(COUNTIF('Quick Compare'!D512:D519,"Directory")+COUNTIF('Quick Compare'!H512:H519,"Directory")),(COUNTIF('Quick Compare'!D512:D519,"Blog/FAQ")+COUNTIF('Quick Compare'!H512:H519,"Blog/FAQ")),(COUNTIF('Quick Compare'!D512:D519,"Portfolio/Gallery")+COUNTIF('Quick Compare'!H512:H519,"Portfolio/Gallery")),(COUNTIF('Quick Compare'!D512:D519,"About page")+COUNTIF('Quick Compare'!H512:H519,"About page")),(COUNTIF('Quick Compare'!D512:D519,"Other")+COUNTIF('Quick Compare'!H512:H519,"Other"))))+--((COUNTIF('Quick Compare'!D512:D519,"Portfolio/Gallery")+COUNTIF('Quick Compare'!H512:H519,"Portfolio/Gallery"))=MAX((COUNTIF('Quick Compare'!D512:D519,"Homepage")+COUNTIF('Quick Compare'!H512:H519,"Homepage")),(COUNTIF('Quick Compare'!D512:D519,"Service page")+COUNTIF('Quick Compare'!H512:H519,"Service page")),(COUNTIF('Quick Compare'!D512:D519,"Location page")+COUNTIF('Quick Compare'!H512:H519,"Location page")),(COUNTIF('Quick Compare'!D512:D519,"Directory")+COUNTIF('Quick Compare'!H512:H519,"Directory")),(COUNTIF('Quick Compare'!D512:D519,"Blog/FAQ")+COUNTIF('Quick Compare'!H512:H519,"Blog/FAQ")),(COUNTIF('Quick Compare'!D512:D519,"Portfolio/Gallery")+COUNTIF('Quick Compare'!H512:H519,"Portfolio/Gallery")),(COUNTIF('Quick Compare'!D512:D519,"About page")+COUNTIF('Quick Compare'!H512:H519,"About page")),(COUNTIF('Quick Compare'!D512:D519,"Other")+COUNTIF('Quick Compare'!H512:H519,"Other"))))+--((COUNTIF('Quick Compare'!D512:D519,"About page")+COUNTIF('Quick Compare'!H512:H519,"About page"))=MAX((COUNTIF('Quick Compare'!D512:D519,"Homepage")+COUNTIF('Quick Compare'!H512:H519,"Homepage")),(COUNTIF('Quick Compare'!D512:D519,"Service page")+COUNTIF('Quick Compare'!H512:H519,"Service page")),(COUNTIF('Quick Compare'!D512:D519,"Location page")+COUNTIF('Quick Compare'!H512:H519,"Location page")),(COUNTIF('Quick Compare'!D512:D519,"Directory")+COUNTIF('Quick Compare'!H512:H519,"Directory")),(COUNTIF('Quick Compare'!D512:D519,"Blog/FAQ")+COUNTIF('Quick Compare'!H512:H519,"Blog/FAQ")),(COUNTIF('Quick Compare'!D512:D519,"Portfolio/Gallery")+COUNTIF('Quick Compare'!H512:H519,"Portfolio/Gallery")),(COUNTIF('Quick Compare'!D512:D519,"About page")+COUNTIF('Quick Compare'!H512:H519,"About page")),(COUNTIF('Quick Compare'!D512:D519,"Other")+COUNTIF('Quick Compare'!H512:H519,"Other"))))+--((COUNTIF('Quick Compare'!D512:D519,"Other")+COUNTIF('Quick Compare'!H512:H519,"Other"))=MAX((COUNTIF('Quick Compare'!D512:D519,"Homepage")+COUNTIF('Quick Compare'!H512:H519,"Homepage")),(COUNTIF('Quick Compare'!D512:D519,"Service page")+COUNTIF('Quick Compare'!H512:H519,"Service page")),(COUNTIF('Quick Compare'!D512:D519,"Location page")+COUNTIF('Quick Compare'!H512:H519,"Location page")),(COUNTIF('Quick Compare'!D512:D519,"Directory")+COUNTIF('Quick Compare'!H512:H519,"Directory")),(COUNTIF('Quick Compare'!D512:D519,"Blog/FAQ")+COUNTIF('Quick Compare'!H512:H519,"Blog/FAQ")),(COUNTIF('Quick Compare'!D512:D519,"Portfolio/Gallery")+COUNTIF('Quick Compare'!H512:H519,"Portfolio/Gallery")),(COUNTIF('Quick Compare'!D512:D519,"About page")+COUNTIF('Quick Compare'!H512:H519,"About page")),(COUNTIF('Quick Compare'!D512:D519,"Other")+COUNTIF('Quick Compare'!H512:H519,"Other")))))&gt;1,"Tie / review",IF((COUNTIF('Quick Compare'!D512:D519,"Homepage")+COUNTIF('Quick Compare'!H512:H519,"Homepage"))=MAX((COUNTIF('Quick Compare'!D512:D519,"Homepage")+COUNTIF('Quick Compare'!H512:H519,"Homepage")),(COUNTIF('Quick Compare'!D512:D519,"Service page")+COUNTIF('Quick Compare'!H512:H519,"Service page")),(COUNTIF('Quick Compare'!D512:D519,"Location page")+COUNTIF('Quick Compare'!H512:H519,"Location page")),(COUNTIF('Quick Compare'!D512:D519,"Directory")+COUNTIF('Quick Compare'!H512:H519,"Directory")),(COUNTIF('Quick Compare'!D512:D519,"Blog/FAQ")+COUNTIF('Quick Compare'!H512:H519,"Blog/FAQ")),(COUNTIF('Quick Compare'!D512:D519,"Portfolio/Gallery")+COUNTIF('Quick Compare'!H512:H519,"Portfolio/Gallery")),(COUNTIF('Quick Compare'!D512:D519,"About page")+COUNTIF('Quick Compare'!H512:H519,"About page")),(COUNTIF('Quick Compare'!D512:D519,"Other")+COUNTIF('Quick Compare'!H512:H519,"Other"))),"Homepage",IF((COUNTIF('Quick Compare'!D512:D519,"Service page")+COUNTIF('Quick Compare'!H512:H519,"Service page"))=MAX((COUNTIF('Quick Compare'!D512:D519,"Homepage")+COUNTIF('Quick Compare'!H512:H519,"Homepage")),(COUNTIF('Quick Compare'!D512:D519,"Service page")+COUNTIF('Quick Compare'!H512:H519,"Service page")),(COUNTIF('Quick Compare'!D512:D519,"Location page")+COUNTIF('Quick Compare'!H512:H519,"Location page")),(COUNTIF('Quick Compare'!D512:D519,"Directory")+COUNTIF('Quick Compare'!H512:H519,"Directory")),(COUNTIF('Quick Compare'!D512:D519,"Blog/FAQ")+COUNTIF('Quick Compare'!H512:H519,"Blog/FAQ")),(COUNTIF('Quick Compare'!D512:D519,"Portfolio/Gallery")+COUNTIF('Quick Compare'!H512:H519,"Portfolio/Gallery")),(COUNTIF('Quick Compare'!D512:D519,"About page")+COUNTIF('Quick Compare'!H512:H519,"About page")),(COUNTIF('Quick Compare'!D512:D519,"Other")+COUNTIF('Quick Compare'!H512:H519,"Other"))),"Service page",IF((COUNTIF('Quick Compare'!D512:D519,"Location page")+COUNTIF('Quick Compare'!H512:H519,"Location page"))=MAX((COUNTIF('Quick Compare'!D512:D519,"Homepage")+COUNTIF('Quick Compare'!H512:H519,"Homepage")),(COUNTIF('Quick Compare'!D512:D519,"Service page")+COUNTIF('Quick Compare'!H512:H519,"Service page")),(COUNTIF('Quick Compare'!D512:D519,"Location page")+COUNTIF('Quick Compare'!H512:H519,"Location page")),(COUNTIF('Quick Compare'!D512:D519,"Directory")+COUNTIF('Quick Compare'!H512:H519,"Directory")),(COUNTIF('Quick Compare'!D512:D519,"Blog/FAQ")+COUNTIF('Quick Compare'!H512:H519,"Blog/FAQ")),(COUNTIF('Quick Compare'!D512:D519,"Portfolio/Gallery")+COUNTIF('Quick Compare'!H512:H519,"Portfolio/Gallery")),(COUNTIF('Quick Compare'!D512:D519,"About page")+COUNTIF('Quick Compare'!H512:H519,"About page")),(COUNTIF('Quick Compare'!D512:D519,"Other")+COUNTIF('Quick Compare'!H512:H519,"Other"))),"Location page",IF((COUNTIF('Quick Compare'!D512:D519,"Directory")+COUNTIF('Quick Compare'!H512:H519,"Directory"))=MAX((COUNTIF('Quick Compare'!D512:D519,"Homepage")+COUNTIF('Quick Compare'!H512:H519,"Homepage")),(COUNTIF('Quick Compare'!D512:D519,"Service page")+COUNTIF('Quick Compare'!H512:H519,"Service page")),(COUNTIF('Quick Compare'!D512:D519,"Location page")+COUNTIF('Quick Compare'!H512:H519,"Location page")),(COUNTIF('Quick Compare'!D512:D519,"Directory")+COUNTIF('Quick Compare'!H512:H519,"Directory")),(COUNTIF('Quick Compare'!D512:D519,"Blog/FAQ")+COUNTIF('Quick Compare'!H512:H519,"Blog/FAQ")),(COUNTIF('Quick Compare'!D512:D519,"Portfolio/Gallery")+COUNTIF('Quick Compare'!H512:H519,"Portfolio/Gallery")),(COUNTIF('Quick Compare'!D512:D519,"About page")+COUNTIF('Quick Compare'!H512:H519,"About page")),(COUNTIF('Quick Compare'!D512:D519,"Other")+COUNTIF('Quick Compare'!H512:H519,"Other"))),"Directory",IF((COUNTIF('Quick Compare'!D512:D519,"Blog/FAQ")+COUNTIF('Quick Compare'!H512:H519,"Blog/FAQ"))=MAX((COUNTIF('Quick Compare'!D512:D519,"Homepage")+COUNTIF('Quick Compare'!H512:H519,"Homepage")),(COUNTIF('Quick Compare'!D512:D519,"Service page")+COUNTIF('Quick Compare'!H512:H519,"Service page")),(COUNTIF('Quick Compare'!D512:D519,"Location page")+COUNTIF('Quick Compare'!H512:H519,"Location page")),(COUNTIF('Quick Compare'!D512:D519,"Directory")+COUNTIF('Quick Compare'!H512:H519,"Directory")),(COUNTIF('Quick Compare'!D512:D519,"Blog/FAQ")+COUNTIF('Quick Compare'!H512:H519,"Blog/FAQ")),(COUNTIF('Quick Compare'!D512:D519,"Portfolio/Gallery")+COUNTIF('Quick Compare'!H512:H519,"Portfolio/Gallery")),(COUNTIF('Quick Compare'!D512:D519,"About page")+COUNTIF('Quick Compare'!H512:H519,"About page")),(COUNTIF('Quick Compare'!D512:D519,"Other")+COUNTIF('Quick Compare'!H512:H519,"Other"))),"Blog/FAQ",IF((COUNTIF('Quick Compare'!D512:D519,"Portfolio/Gallery")+COUNTIF('Quick Compare'!H512:H519,"Portfolio/Gallery"))=MAX((COUNTIF('Quick Compare'!D512:D519,"Homepage")+COUNTIF('Quick Compare'!H512:H519,"Homepage")),(COUNTIF('Quick Compare'!D512:D519,"Service page")+COUNTIF('Quick Compare'!H512:H519,"Service page")),(COUNTIF('Quick Compare'!D512:D519,"Location page")+COUNTIF('Quick Compare'!H512:H519,"Location page")),(COUNTIF('Quick Compare'!D512:D519,"Directory")+COUNTIF('Quick Compare'!H512:H519,"Directory")),(COUNTIF('Quick Compare'!D512:D519,"Blog/FAQ")+COUNTIF('Quick Compare'!H512:H519,"Blog/FAQ")),(COUNTIF('Quick Compare'!D512:D519,"Portfolio/Gallery")+COUNTIF('Quick Compare'!H512:H519,"Portfolio/Gallery")),(COUNTIF('Quick Compare'!D512:D519,"About page")+COUNTIF('Quick Compare'!H512:H519,"About page")),(COUNTIF('Quick Compare'!D512:D519,"Other")+COUNTIF('Quick Compare'!H512:H519,"Other"))),"Portfolio/Gallery",IF((COUNTIF('Quick Compare'!D512:D519,"About page")+COUNTIF('Quick Compare'!H512:H519,"About page"))=MAX((COUNTIF('Quick Compare'!D512:D519,"Homepage")+COUNTIF('Quick Compare'!H512:H519,"Homepage")),(COUNTIF('Quick Compare'!D512:D519,"Service page")+COUNTIF('Quick Compare'!H512:H519,"Service page")),(COUNTIF('Quick Compare'!D512:D519,"Location page")+COUNTIF('Quick Compare'!H512:H519,"Location page")),(COUNTIF('Quick Compare'!D512:D519,"Directory")+COUNTIF('Quick Compare'!H512:H519,"Directory")),(COUNTIF('Quick Compare'!D512:D519,"Blog/FAQ")+COUNTIF('Quick Compare'!H512:H519,"Blog/FAQ")),(COUNTIF('Quick Compare'!D512:D519,"Portfolio/Gallery")+COUNTIF('Quick Compare'!H512:H519,"Portfolio/Gallery")),(COUNTIF('Quick Compare'!D512:D519,"About page")+COUNTIF('Quick Compare'!H512:H519,"About page")),(COUNTIF('Quick Compare'!D512:D519,"Other")+COUNTIF('Quick Compare'!H512:H519,"Other"))),"About page","Other"))))))))))</x:f>
      </x:c>
      <x:c r="K25" s="67"/>
      <x:c r="L25" s="67"/>
    </x:row>
    <x:row r="26">
      <x:c r="A26" s="67" t="str">
        <x:f>IF('Quick Compare'!B530="","",'Quick Compare'!B530)</x:f>
      </x:c>
      <x:c r="B26" s="67" t="str">
        <x:f>IF('Quick Compare'!B531="","",'Quick Compare'!B531)</x:f>
      </x:c>
      <x:c r="C26" s="67" t="str">
        <x:f>IF('Quick Compare'!B532="","",'Quick Compare'!B532)</x:f>
      </x:c>
      <x:c r="D26" s="67" t="str">
        <x:f>IF(B26="","",'Quick Compare'!B547)</x:f>
      </x:c>
      <x:c r="E26" s="67" t="str">
        <x:f>IF(B26="","",MAX(0,'Quick Compare'!B548-'Quick Compare'!B547))</x:f>
      </x:c>
      <x:c r="F26" s="67" t="str">
        <x:f>IF(B26="","",'Quick Compare'!B549)</x:f>
      </x:c>
      <x:c r="G26" s="67" t="str">
        <x:f>IF(B26="","",'Quick Compare'!B550)</x:f>
      </x:c>
      <x:c r="H26" s="67"/>
      <x:c r="I26" s="67"/>
      <x:c r="J26" s="67" t="str">
        <x:f>IF(B26="","",IF(MAX((COUNTIF('Quick Compare'!D536:D543,"Homepage")+COUNTIF('Quick Compare'!H536:H543,"Homepage")),(COUNTIF('Quick Compare'!D536:D543,"Service page")+COUNTIF('Quick Compare'!H536:H543,"Service page")),(COUNTIF('Quick Compare'!D536:D543,"Location page")+COUNTIF('Quick Compare'!H536:H543,"Location page")),(COUNTIF('Quick Compare'!D536:D543,"Directory")+COUNTIF('Quick Compare'!H536:H543,"Directory")),(COUNTIF('Quick Compare'!D536:D543,"Blog/FAQ")+COUNTIF('Quick Compare'!H536:H543,"Blog/FAQ")),(COUNTIF('Quick Compare'!D536:D543,"Portfolio/Gallery")+COUNTIF('Quick Compare'!H536:H543,"Portfolio/Gallery")),(COUNTIF('Quick Compare'!D536:D543,"About page")+COUNTIF('Quick Compare'!H536:H543,"About page")),(COUNTIF('Quick Compare'!D536:D543,"Other")+COUNTIF('Quick Compare'!H536:H543,"Other")))=0,"",IF((--((COUNTIF('Quick Compare'!D536:D543,"Homepage")+COUNTIF('Quick Compare'!H536:H543,"Homepage"))=MAX((COUNTIF('Quick Compare'!D536:D543,"Homepage")+COUNTIF('Quick Compare'!H536:H543,"Homepage")),(COUNTIF('Quick Compare'!D536:D543,"Service page")+COUNTIF('Quick Compare'!H536:H543,"Service page")),(COUNTIF('Quick Compare'!D536:D543,"Location page")+COUNTIF('Quick Compare'!H536:H543,"Location page")),(COUNTIF('Quick Compare'!D536:D543,"Directory")+COUNTIF('Quick Compare'!H536:H543,"Directory")),(COUNTIF('Quick Compare'!D536:D543,"Blog/FAQ")+COUNTIF('Quick Compare'!H536:H543,"Blog/FAQ")),(COUNTIF('Quick Compare'!D536:D543,"Portfolio/Gallery")+COUNTIF('Quick Compare'!H536:H543,"Portfolio/Gallery")),(COUNTIF('Quick Compare'!D536:D543,"About page")+COUNTIF('Quick Compare'!H536:H543,"About page")),(COUNTIF('Quick Compare'!D536:D543,"Other")+COUNTIF('Quick Compare'!H536:H543,"Other"))))+--((COUNTIF('Quick Compare'!D536:D543,"Service page")+COUNTIF('Quick Compare'!H536:H543,"Service page"))=MAX((COUNTIF('Quick Compare'!D536:D543,"Homepage")+COUNTIF('Quick Compare'!H536:H543,"Homepage")),(COUNTIF('Quick Compare'!D536:D543,"Service page")+COUNTIF('Quick Compare'!H536:H543,"Service page")),(COUNTIF('Quick Compare'!D536:D543,"Location page")+COUNTIF('Quick Compare'!H536:H543,"Location page")),(COUNTIF('Quick Compare'!D536:D543,"Directory")+COUNTIF('Quick Compare'!H536:H543,"Directory")),(COUNTIF('Quick Compare'!D536:D543,"Blog/FAQ")+COUNTIF('Quick Compare'!H536:H543,"Blog/FAQ")),(COUNTIF('Quick Compare'!D536:D543,"Portfolio/Gallery")+COUNTIF('Quick Compare'!H536:H543,"Portfolio/Gallery")),(COUNTIF('Quick Compare'!D536:D543,"About page")+COUNTIF('Quick Compare'!H536:H543,"About page")),(COUNTIF('Quick Compare'!D536:D543,"Other")+COUNTIF('Quick Compare'!H536:H543,"Other"))))+--((COUNTIF('Quick Compare'!D536:D543,"Location page")+COUNTIF('Quick Compare'!H536:H543,"Location page"))=MAX((COUNTIF('Quick Compare'!D536:D543,"Homepage")+COUNTIF('Quick Compare'!H536:H543,"Homepage")),(COUNTIF('Quick Compare'!D536:D543,"Service page")+COUNTIF('Quick Compare'!H536:H543,"Service page")),(COUNTIF('Quick Compare'!D536:D543,"Location page")+COUNTIF('Quick Compare'!H536:H543,"Location page")),(COUNTIF('Quick Compare'!D536:D543,"Directory")+COUNTIF('Quick Compare'!H536:H543,"Directory")),(COUNTIF('Quick Compare'!D536:D543,"Blog/FAQ")+COUNTIF('Quick Compare'!H536:H543,"Blog/FAQ")),(COUNTIF('Quick Compare'!D536:D543,"Portfolio/Gallery")+COUNTIF('Quick Compare'!H536:H543,"Portfolio/Gallery")),(COUNTIF('Quick Compare'!D536:D543,"About page")+COUNTIF('Quick Compare'!H536:H543,"About page")),(COUNTIF('Quick Compare'!D536:D543,"Other")+COUNTIF('Quick Compare'!H536:H543,"Other"))))+--((COUNTIF('Quick Compare'!D536:D543,"Directory")+COUNTIF('Quick Compare'!H536:H543,"Directory"))=MAX((COUNTIF('Quick Compare'!D536:D543,"Homepage")+COUNTIF('Quick Compare'!H536:H543,"Homepage")),(COUNTIF('Quick Compare'!D536:D543,"Service page")+COUNTIF('Quick Compare'!H536:H543,"Service page")),(COUNTIF('Quick Compare'!D536:D543,"Location page")+COUNTIF('Quick Compare'!H536:H543,"Location page")),(COUNTIF('Quick Compare'!D536:D543,"Directory")+COUNTIF('Quick Compare'!H536:H543,"Directory")),(COUNTIF('Quick Compare'!D536:D543,"Blog/FAQ")+COUNTIF('Quick Compare'!H536:H543,"Blog/FAQ")),(COUNTIF('Quick Compare'!D536:D543,"Portfolio/Gallery")+COUNTIF('Quick Compare'!H536:H543,"Portfolio/Gallery")),(COUNTIF('Quick Compare'!D536:D543,"About page")+COUNTIF('Quick Compare'!H536:H543,"About page")),(COUNTIF('Quick Compare'!D536:D543,"Other")+COUNTIF('Quick Compare'!H536:H543,"Other"))))+--((COUNTIF('Quick Compare'!D536:D543,"Blog/FAQ")+COUNTIF('Quick Compare'!H536:H543,"Blog/FAQ"))=MAX((COUNTIF('Quick Compare'!D536:D543,"Homepage")+COUNTIF('Quick Compare'!H536:H543,"Homepage")),(COUNTIF('Quick Compare'!D536:D543,"Service page")+COUNTIF('Quick Compare'!H536:H543,"Service page")),(COUNTIF('Quick Compare'!D536:D543,"Location page")+COUNTIF('Quick Compare'!H536:H543,"Location page")),(COUNTIF('Quick Compare'!D536:D543,"Directory")+COUNTIF('Quick Compare'!H536:H543,"Directory")),(COUNTIF('Quick Compare'!D536:D543,"Blog/FAQ")+COUNTIF('Quick Compare'!H536:H543,"Blog/FAQ")),(COUNTIF('Quick Compare'!D536:D543,"Portfolio/Gallery")+COUNTIF('Quick Compare'!H536:H543,"Portfolio/Gallery")),(COUNTIF('Quick Compare'!D536:D543,"About page")+COUNTIF('Quick Compare'!H536:H543,"About page")),(COUNTIF('Quick Compare'!D536:D543,"Other")+COUNTIF('Quick Compare'!H536:H543,"Other"))))+--((COUNTIF('Quick Compare'!D536:D543,"Portfolio/Gallery")+COUNTIF('Quick Compare'!H536:H543,"Portfolio/Gallery"))=MAX((COUNTIF('Quick Compare'!D536:D543,"Homepage")+COUNTIF('Quick Compare'!H536:H543,"Homepage")),(COUNTIF('Quick Compare'!D536:D543,"Service page")+COUNTIF('Quick Compare'!H536:H543,"Service page")),(COUNTIF('Quick Compare'!D536:D543,"Location page")+COUNTIF('Quick Compare'!H536:H543,"Location page")),(COUNTIF('Quick Compare'!D536:D543,"Directory")+COUNTIF('Quick Compare'!H536:H543,"Directory")),(COUNTIF('Quick Compare'!D536:D543,"Blog/FAQ")+COUNTIF('Quick Compare'!H536:H543,"Blog/FAQ")),(COUNTIF('Quick Compare'!D536:D543,"Portfolio/Gallery")+COUNTIF('Quick Compare'!H536:H543,"Portfolio/Gallery")),(COUNTIF('Quick Compare'!D536:D543,"About page")+COUNTIF('Quick Compare'!H536:H543,"About page")),(COUNTIF('Quick Compare'!D536:D543,"Other")+COUNTIF('Quick Compare'!H536:H543,"Other"))))+--((COUNTIF('Quick Compare'!D536:D543,"About page")+COUNTIF('Quick Compare'!H536:H543,"About page"))=MAX((COUNTIF('Quick Compare'!D536:D543,"Homepage")+COUNTIF('Quick Compare'!H536:H543,"Homepage")),(COUNTIF('Quick Compare'!D536:D543,"Service page")+COUNTIF('Quick Compare'!H536:H543,"Service page")),(COUNTIF('Quick Compare'!D536:D543,"Location page")+COUNTIF('Quick Compare'!H536:H543,"Location page")),(COUNTIF('Quick Compare'!D536:D543,"Directory")+COUNTIF('Quick Compare'!H536:H543,"Directory")),(COUNTIF('Quick Compare'!D536:D543,"Blog/FAQ")+COUNTIF('Quick Compare'!H536:H543,"Blog/FAQ")),(COUNTIF('Quick Compare'!D536:D543,"Portfolio/Gallery")+COUNTIF('Quick Compare'!H536:H543,"Portfolio/Gallery")),(COUNTIF('Quick Compare'!D536:D543,"About page")+COUNTIF('Quick Compare'!H536:H543,"About page")),(COUNTIF('Quick Compare'!D536:D543,"Other")+COUNTIF('Quick Compare'!H536:H543,"Other"))))+--((COUNTIF('Quick Compare'!D536:D543,"Other")+COUNTIF('Quick Compare'!H536:H543,"Other"))=MAX((COUNTIF('Quick Compare'!D536:D543,"Homepage")+COUNTIF('Quick Compare'!H536:H543,"Homepage")),(COUNTIF('Quick Compare'!D536:D543,"Service page")+COUNTIF('Quick Compare'!H536:H543,"Service page")),(COUNTIF('Quick Compare'!D536:D543,"Location page")+COUNTIF('Quick Compare'!H536:H543,"Location page")),(COUNTIF('Quick Compare'!D536:D543,"Directory")+COUNTIF('Quick Compare'!H536:H543,"Directory")),(COUNTIF('Quick Compare'!D536:D543,"Blog/FAQ")+COUNTIF('Quick Compare'!H536:H543,"Blog/FAQ")),(COUNTIF('Quick Compare'!D536:D543,"Portfolio/Gallery")+COUNTIF('Quick Compare'!H536:H543,"Portfolio/Gallery")),(COUNTIF('Quick Compare'!D536:D543,"About page")+COUNTIF('Quick Compare'!H536:H543,"About page")),(COUNTIF('Quick Compare'!D536:D543,"Other")+COUNTIF('Quick Compare'!H536:H543,"Other")))))&gt;1,"Tie / review",IF((COUNTIF('Quick Compare'!D536:D543,"Homepage")+COUNTIF('Quick Compare'!H536:H543,"Homepage"))=MAX((COUNTIF('Quick Compare'!D536:D543,"Homepage")+COUNTIF('Quick Compare'!H536:H543,"Homepage")),(COUNTIF('Quick Compare'!D536:D543,"Service page")+COUNTIF('Quick Compare'!H536:H543,"Service page")),(COUNTIF('Quick Compare'!D536:D543,"Location page")+COUNTIF('Quick Compare'!H536:H543,"Location page")),(COUNTIF('Quick Compare'!D536:D543,"Directory")+COUNTIF('Quick Compare'!H536:H543,"Directory")),(COUNTIF('Quick Compare'!D536:D543,"Blog/FAQ")+COUNTIF('Quick Compare'!H536:H543,"Blog/FAQ")),(COUNTIF('Quick Compare'!D536:D543,"Portfolio/Gallery")+COUNTIF('Quick Compare'!H536:H543,"Portfolio/Gallery")),(COUNTIF('Quick Compare'!D536:D543,"About page")+COUNTIF('Quick Compare'!H536:H543,"About page")),(COUNTIF('Quick Compare'!D536:D543,"Other")+COUNTIF('Quick Compare'!H536:H543,"Other"))),"Homepage",IF((COUNTIF('Quick Compare'!D536:D543,"Service page")+COUNTIF('Quick Compare'!H536:H543,"Service page"))=MAX((COUNTIF('Quick Compare'!D536:D543,"Homepage")+COUNTIF('Quick Compare'!H536:H543,"Homepage")),(COUNTIF('Quick Compare'!D536:D543,"Service page")+COUNTIF('Quick Compare'!H536:H543,"Service page")),(COUNTIF('Quick Compare'!D536:D543,"Location page")+COUNTIF('Quick Compare'!H536:H543,"Location page")),(COUNTIF('Quick Compare'!D536:D543,"Directory")+COUNTIF('Quick Compare'!H536:H543,"Directory")),(COUNTIF('Quick Compare'!D536:D543,"Blog/FAQ")+COUNTIF('Quick Compare'!H536:H543,"Blog/FAQ")),(COUNTIF('Quick Compare'!D536:D543,"Portfolio/Gallery")+COUNTIF('Quick Compare'!H536:H543,"Portfolio/Gallery")),(COUNTIF('Quick Compare'!D536:D543,"About page")+COUNTIF('Quick Compare'!H536:H543,"About page")),(COUNTIF('Quick Compare'!D536:D543,"Other")+COUNTIF('Quick Compare'!H536:H543,"Other"))),"Service page",IF((COUNTIF('Quick Compare'!D536:D543,"Location page")+COUNTIF('Quick Compare'!H536:H543,"Location page"))=MAX((COUNTIF('Quick Compare'!D536:D543,"Homepage")+COUNTIF('Quick Compare'!H536:H543,"Homepage")),(COUNTIF('Quick Compare'!D536:D543,"Service page")+COUNTIF('Quick Compare'!H536:H543,"Service page")),(COUNTIF('Quick Compare'!D536:D543,"Location page")+COUNTIF('Quick Compare'!H536:H543,"Location page")),(COUNTIF('Quick Compare'!D536:D543,"Directory")+COUNTIF('Quick Compare'!H536:H543,"Directory")),(COUNTIF('Quick Compare'!D536:D543,"Blog/FAQ")+COUNTIF('Quick Compare'!H536:H543,"Blog/FAQ")),(COUNTIF('Quick Compare'!D536:D543,"Portfolio/Gallery")+COUNTIF('Quick Compare'!H536:H543,"Portfolio/Gallery")),(COUNTIF('Quick Compare'!D536:D543,"About page")+COUNTIF('Quick Compare'!H536:H543,"About page")),(COUNTIF('Quick Compare'!D536:D543,"Other")+COUNTIF('Quick Compare'!H536:H543,"Other"))),"Location page",IF((COUNTIF('Quick Compare'!D536:D543,"Directory")+COUNTIF('Quick Compare'!H536:H543,"Directory"))=MAX((COUNTIF('Quick Compare'!D536:D543,"Homepage")+COUNTIF('Quick Compare'!H536:H543,"Homepage")),(COUNTIF('Quick Compare'!D536:D543,"Service page")+COUNTIF('Quick Compare'!H536:H543,"Service page")),(COUNTIF('Quick Compare'!D536:D543,"Location page")+COUNTIF('Quick Compare'!H536:H543,"Location page")),(COUNTIF('Quick Compare'!D536:D543,"Directory")+COUNTIF('Quick Compare'!H536:H543,"Directory")),(COUNTIF('Quick Compare'!D536:D543,"Blog/FAQ")+COUNTIF('Quick Compare'!H536:H543,"Blog/FAQ")),(COUNTIF('Quick Compare'!D536:D543,"Portfolio/Gallery")+COUNTIF('Quick Compare'!H536:H543,"Portfolio/Gallery")),(COUNTIF('Quick Compare'!D536:D543,"About page")+COUNTIF('Quick Compare'!H536:H543,"About page")),(COUNTIF('Quick Compare'!D536:D543,"Other")+COUNTIF('Quick Compare'!H536:H543,"Other"))),"Directory",IF((COUNTIF('Quick Compare'!D536:D543,"Blog/FAQ")+COUNTIF('Quick Compare'!H536:H543,"Blog/FAQ"))=MAX((COUNTIF('Quick Compare'!D536:D543,"Homepage")+COUNTIF('Quick Compare'!H536:H543,"Homepage")),(COUNTIF('Quick Compare'!D536:D543,"Service page")+COUNTIF('Quick Compare'!H536:H543,"Service page")),(COUNTIF('Quick Compare'!D536:D543,"Location page")+COUNTIF('Quick Compare'!H536:H543,"Location page")),(COUNTIF('Quick Compare'!D536:D543,"Directory")+COUNTIF('Quick Compare'!H536:H543,"Directory")),(COUNTIF('Quick Compare'!D536:D543,"Blog/FAQ")+COUNTIF('Quick Compare'!H536:H543,"Blog/FAQ")),(COUNTIF('Quick Compare'!D536:D543,"Portfolio/Gallery")+COUNTIF('Quick Compare'!H536:H543,"Portfolio/Gallery")),(COUNTIF('Quick Compare'!D536:D543,"About page")+COUNTIF('Quick Compare'!H536:H543,"About page")),(COUNTIF('Quick Compare'!D536:D543,"Other")+COUNTIF('Quick Compare'!H536:H543,"Other"))),"Blog/FAQ",IF((COUNTIF('Quick Compare'!D536:D543,"Portfolio/Gallery")+COUNTIF('Quick Compare'!H536:H543,"Portfolio/Gallery"))=MAX((COUNTIF('Quick Compare'!D536:D543,"Homepage")+COUNTIF('Quick Compare'!H536:H543,"Homepage")),(COUNTIF('Quick Compare'!D536:D543,"Service page")+COUNTIF('Quick Compare'!H536:H543,"Service page")),(COUNTIF('Quick Compare'!D536:D543,"Location page")+COUNTIF('Quick Compare'!H536:H543,"Location page")),(COUNTIF('Quick Compare'!D536:D543,"Directory")+COUNTIF('Quick Compare'!H536:H543,"Directory")),(COUNTIF('Quick Compare'!D536:D543,"Blog/FAQ")+COUNTIF('Quick Compare'!H536:H543,"Blog/FAQ")),(COUNTIF('Quick Compare'!D536:D543,"Portfolio/Gallery")+COUNTIF('Quick Compare'!H536:H543,"Portfolio/Gallery")),(COUNTIF('Quick Compare'!D536:D543,"About page")+COUNTIF('Quick Compare'!H536:H543,"About page")),(COUNTIF('Quick Compare'!D536:D543,"Other")+COUNTIF('Quick Compare'!H536:H543,"Other"))),"Portfolio/Gallery",IF((COUNTIF('Quick Compare'!D536:D543,"About page")+COUNTIF('Quick Compare'!H536:H543,"About page"))=MAX((COUNTIF('Quick Compare'!D536:D543,"Homepage")+COUNTIF('Quick Compare'!H536:H543,"Homepage")),(COUNTIF('Quick Compare'!D536:D543,"Service page")+COUNTIF('Quick Compare'!H536:H543,"Service page")),(COUNTIF('Quick Compare'!D536:D543,"Location page")+COUNTIF('Quick Compare'!H536:H543,"Location page")),(COUNTIF('Quick Compare'!D536:D543,"Directory")+COUNTIF('Quick Compare'!H536:H543,"Directory")),(COUNTIF('Quick Compare'!D536:D543,"Blog/FAQ")+COUNTIF('Quick Compare'!H536:H543,"Blog/FAQ")),(COUNTIF('Quick Compare'!D536:D543,"Portfolio/Gallery")+COUNTIF('Quick Compare'!H536:H543,"Portfolio/Gallery")),(COUNTIF('Quick Compare'!D536:D543,"About page")+COUNTIF('Quick Compare'!H536:H543,"About page")),(COUNTIF('Quick Compare'!D536:D543,"Other")+COUNTIF('Quick Compare'!H536:H543,"Other"))),"About page","Other"))))))))))</x:f>
      </x:c>
      <x:c r="K26" s="67"/>
      <x:c r="L26" s="67"/>
    </x:row>
    <x:row r="27">
      <x:c r="A27" s="67" t="str">
        <x:f>IF('Quick Compare'!B554="","",'Quick Compare'!B554)</x:f>
      </x:c>
      <x:c r="B27" s="67" t="str">
        <x:f>IF('Quick Compare'!B555="","",'Quick Compare'!B555)</x:f>
      </x:c>
      <x:c r="C27" s="67" t="str">
        <x:f>IF('Quick Compare'!B556="","",'Quick Compare'!B556)</x:f>
      </x:c>
      <x:c r="D27" s="67" t="str">
        <x:f>IF(B27="","",'Quick Compare'!B571)</x:f>
      </x:c>
      <x:c r="E27" s="67" t="str">
        <x:f>IF(B27="","",MAX(0,'Quick Compare'!B572-'Quick Compare'!B571))</x:f>
      </x:c>
      <x:c r="F27" s="67" t="str">
        <x:f>IF(B27="","",'Quick Compare'!B573)</x:f>
      </x:c>
      <x:c r="G27" s="67" t="str">
        <x:f>IF(B27="","",'Quick Compare'!B574)</x:f>
      </x:c>
      <x:c r="H27" s="67"/>
      <x:c r="I27" s="67"/>
      <x:c r="J27" s="67" t="str">
        <x:f>IF(B27="","",IF(MAX((COUNTIF('Quick Compare'!D560:D567,"Homepage")+COUNTIF('Quick Compare'!H560:H567,"Homepage")),(COUNTIF('Quick Compare'!D560:D567,"Service page")+COUNTIF('Quick Compare'!H560:H567,"Service page")),(COUNTIF('Quick Compare'!D560:D567,"Location page")+COUNTIF('Quick Compare'!H560:H567,"Location page")),(COUNTIF('Quick Compare'!D560:D567,"Directory")+COUNTIF('Quick Compare'!H560:H567,"Directory")),(COUNTIF('Quick Compare'!D560:D567,"Blog/FAQ")+COUNTIF('Quick Compare'!H560:H567,"Blog/FAQ")),(COUNTIF('Quick Compare'!D560:D567,"Portfolio/Gallery")+COUNTIF('Quick Compare'!H560:H567,"Portfolio/Gallery")),(COUNTIF('Quick Compare'!D560:D567,"About page")+COUNTIF('Quick Compare'!H560:H567,"About page")),(COUNTIF('Quick Compare'!D560:D567,"Other")+COUNTIF('Quick Compare'!H560:H567,"Other")))=0,"",IF((--((COUNTIF('Quick Compare'!D560:D567,"Homepage")+COUNTIF('Quick Compare'!H560:H567,"Homepage"))=MAX((COUNTIF('Quick Compare'!D560:D567,"Homepage")+COUNTIF('Quick Compare'!H560:H567,"Homepage")),(COUNTIF('Quick Compare'!D560:D567,"Service page")+COUNTIF('Quick Compare'!H560:H567,"Service page")),(COUNTIF('Quick Compare'!D560:D567,"Location page")+COUNTIF('Quick Compare'!H560:H567,"Location page")),(COUNTIF('Quick Compare'!D560:D567,"Directory")+COUNTIF('Quick Compare'!H560:H567,"Directory")),(COUNTIF('Quick Compare'!D560:D567,"Blog/FAQ")+COUNTIF('Quick Compare'!H560:H567,"Blog/FAQ")),(COUNTIF('Quick Compare'!D560:D567,"Portfolio/Gallery")+COUNTIF('Quick Compare'!H560:H567,"Portfolio/Gallery")),(COUNTIF('Quick Compare'!D560:D567,"About page")+COUNTIF('Quick Compare'!H560:H567,"About page")),(COUNTIF('Quick Compare'!D560:D567,"Other")+COUNTIF('Quick Compare'!H560:H567,"Other"))))+--((COUNTIF('Quick Compare'!D560:D567,"Service page")+COUNTIF('Quick Compare'!H560:H567,"Service page"))=MAX((COUNTIF('Quick Compare'!D560:D567,"Homepage")+COUNTIF('Quick Compare'!H560:H567,"Homepage")),(COUNTIF('Quick Compare'!D560:D567,"Service page")+COUNTIF('Quick Compare'!H560:H567,"Service page")),(COUNTIF('Quick Compare'!D560:D567,"Location page")+COUNTIF('Quick Compare'!H560:H567,"Location page")),(COUNTIF('Quick Compare'!D560:D567,"Directory")+COUNTIF('Quick Compare'!H560:H567,"Directory")),(COUNTIF('Quick Compare'!D560:D567,"Blog/FAQ")+COUNTIF('Quick Compare'!H560:H567,"Blog/FAQ")),(COUNTIF('Quick Compare'!D560:D567,"Portfolio/Gallery")+COUNTIF('Quick Compare'!H560:H567,"Portfolio/Gallery")),(COUNTIF('Quick Compare'!D560:D567,"About page")+COUNTIF('Quick Compare'!H560:H567,"About page")),(COUNTIF('Quick Compare'!D560:D567,"Other")+COUNTIF('Quick Compare'!H560:H567,"Other"))))+--((COUNTIF('Quick Compare'!D560:D567,"Location page")+COUNTIF('Quick Compare'!H560:H567,"Location page"))=MAX((COUNTIF('Quick Compare'!D560:D567,"Homepage")+COUNTIF('Quick Compare'!H560:H567,"Homepage")),(COUNTIF('Quick Compare'!D560:D567,"Service page")+COUNTIF('Quick Compare'!H560:H567,"Service page")),(COUNTIF('Quick Compare'!D560:D567,"Location page")+COUNTIF('Quick Compare'!H560:H567,"Location page")),(COUNTIF('Quick Compare'!D560:D567,"Directory")+COUNTIF('Quick Compare'!H560:H567,"Directory")),(COUNTIF('Quick Compare'!D560:D567,"Blog/FAQ")+COUNTIF('Quick Compare'!H560:H567,"Blog/FAQ")),(COUNTIF('Quick Compare'!D560:D567,"Portfolio/Gallery")+COUNTIF('Quick Compare'!H560:H567,"Portfolio/Gallery")),(COUNTIF('Quick Compare'!D560:D567,"About page")+COUNTIF('Quick Compare'!H560:H567,"About page")),(COUNTIF('Quick Compare'!D560:D567,"Other")+COUNTIF('Quick Compare'!H560:H567,"Other"))))+--((COUNTIF('Quick Compare'!D560:D567,"Directory")+COUNTIF('Quick Compare'!H560:H567,"Directory"))=MAX((COUNTIF('Quick Compare'!D560:D567,"Homepage")+COUNTIF('Quick Compare'!H560:H567,"Homepage")),(COUNTIF('Quick Compare'!D560:D567,"Service page")+COUNTIF('Quick Compare'!H560:H567,"Service page")),(COUNTIF('Quick Compare'!D560:D567,"Location page")+COUNTIF('Quick Compare'!H560:H567,"Location page")),(COUNTIF('Quick Compare'!D560:D567,"Directory")+COUNTIF('Quick Compare'!H560:H567,"Directory")),(COUNTIF('Quick Compare'!D560:D567,"Blog/FAQ")+COUNTIF('Quick Compare'!H560:H567,"Blog/FAQ")),(COUNTIF('Quick Compare'!D560:D567,"Portfolio/Gallery")+COUNTIF('Quick Compare'!H560:H567,"Portfolio/Gallery")),(COUNTIF('Quick Compare'!D560:D567,"About page")+COUNTIF('Quick Compare'!H560:H567,"About page")),(COUNTIF('Quick Compare'!D560:D567,"Other")+COUNTIF('Quick Compare'!H560:H567,"Other"))))+--((COUNTIF('Quick Compare'!D560:D567,"Blog/FAQ")+COUNTIF('Quick Compare'!H560:H567,"Blog/FAQ"))=MAX((COUNTIF('Quick Compare'!D560:D567,"Homepage")+COUNTIF('Quick Compare'!H560:H567,"Homepage")),(COUNTIF('Quick Compare'!D560:D567,"Service page")+COUNTIF('Quick Compare'!H560:H567,"Service page")),(COUNTIF('Quick Compare'!D560:D567,"Location page")+COUNTIF('Quick Compare'!H560:H567,"Location page")),(COUNTIF('Quick Compare'!D560:D567,"Directory")+COUNTIF('Quick Compare'!H560:H567,"Directory")),(COUNTIF('Quick Compare'!D560:D567,"Blog/FAQ")+COUNTIF('Quick Compare'!H560:H567,"Blog/FAQ")),(COUNTIF('Quick Compare'!D560:D567,"Portfolio/Gallery")+COUNTIF('Quick Compare'!H560:H567,"Portfolio/Gallery")),(COUNTIF('Quick Compare'!D560:D567,"About page")+COUNTIF('Quick Compare'!H560:H567,"About page")),(COUNTIF('Quick Compare'!D560:D567,"Other")+COUNTIF('Quick Compare'!H560:H567,"Other"))))+--((COUNTIF('Quick Compare'!D560:D567,"Portfolio/Gallery")+COUNTIF('Quick Compare'!H560:H567,"Portfolio/Gallery"))=MAX((COUNTIF('Quick Compare'!D560:D567,"Homepage")+COUNTIF('Quick Compare'!H560:H567,"Homepage")),(COUNTIF('Quick Compare'!D560:D567,"Service page")+COUNTIF('Quick Compare'!H560:H567,"Service page")),(COUNTIF('Quick Compare'!D560:D567,"Location page")+COUNTIF('Quick Compare'!H560:H567,"Location page")),(COUNTIF('Quick Compare'!D560:D567,"Directory")+COUNTIF('Quick Compare'!H560:H567,"Directory")),(COUNTIF('Quick Compare'!D560:D567,"Blog/FAQ")+COUNTIF('Quick Compare'!H560:H567,"Blog/FAQ")),(COUNTIF('Quick Compare'!D560:D567,"Portfolio/Gallery")+COUNTIF('Quick Compare'!H560:H567,"Portfolio/Gallery")),(COUNTIF('Quick Compare'!D560:D567,"About page")+COUNTIF('Quick Compare'!H560:H567,"About page")),(COUNTIF('Quick Compare'!D560:D567,"Other")+COUNTIF('Quick Compare'!H560:H567,"Other"))))+--((COUNTIF('Quick Compare'!D560:D567,"About page")+COUNTIF('Quick Compare'!H560:H567,"About page"))=MAX((COUNTIF('Quick Compare'!D560:D567,"Homepage")+COUNTIF('Quick Compare'!H560:H567,"Homepage")),(COUNTIF('Quick Compare'!D560:D567,"Service page")+COUNTIF('Quick Compare'!H560:H567,"Service page")),(COUNTIF('Quick Compare'!D560:D567,"Location page")+COUNTIF('Quick Compare'!H560:H567,"Location page")),(COUNTIF('Quick Compare'!D560:D567,"Directory")+COUNTIF('Quick Compare'!H560:H567,"Directory")),(COUNTIF('Quick Compare'!D560:D567,"Blog/FAQ")+COUNTIF('Quick Compare'!H560:H567,"Blog/FAQ")),(COUNTIF('Quick Compare'!D560:D567,"Portfolio/Gallery")+COUNTIF('Quick Compare'!H560:H567,"Portfolio/Gallery")),(COUNTIF('Quick Compare'!D560:D567,"About page")+COUNTIF('Quick Compare'!H560:H567,"About page")),(COUNTIF('Quick Compare'!D560:D567,"Other")+COUNTIF('Quick Compare'!H560:H567,"Other"))))+--((COUNTIF('Quick Compare'!D560:D567,"Other")+COUNTIF('Quick Compare'!H560:H567,"Other"))=MAX((COUNTIF('Quick Compare'!D560:D567,"Homepage")+COUNTIF('Quick Compare'!H560:H567,"Homepage")),(COUNTIF('Quick Compare'!D560:D567,"Service page")+COUNTIF('Quick Compare'!H560:H567,"Service page")),(COUNTIF('Quick Compare'!D560:D567,"Location page")+COUNTIF('Quick Compare'!H560:H567,"Location page")),(COUNTIF('Quick Compare'!D560:D567,"Directory")+COUNTIF('Quick Compare'!H560:H567,"Directory")),(COUNTIF('Quick Compare'!D560:D567,"Blog/FAQ")+COUNTIF('Quick Compare'!H560:H567,"Blog/FAQ")),(COUNTIF('Quick Compare'!D560:D567,"Portfolio/Gallery")+COUNTIF('Quick Compare'!H560:H567,"Portfolio/Gallery")),(COUNTIF('Quick Compare'!D560:D567,"About page")+COUNTIF('Quick Compare'!H560:H567,"About page")),(COUNTIF('Quick Compare'!D560:D567,"Other")+COUNTIF('Quick Compare'!H560:H567,"Other")))))&gt;1,"Tie / review",IF((COUNTIF('Quick Compare'!D560:D567,"Homepage")+COUNTIF('Quick Compare'!H560:H567,"Homepage"))=MAX((COUNTIF('Quick Compare'!D560:D567,"Homepage")+COUNTIF('Quick Compare'!H560:H567,"Homepage")),(COUNTIF('Quick Compare'!D560:D567,"Service page")+COUNTIF('Quick Compare'!H560:H567,"Service page")),(COUNTIF('Quick Compare'!D560:D567,"Location page")+COUNTIF('Quick Compare'!H560:H567,"Location page")),(COUNTIF('Quick Compare'!D560:D567,"Directory")+COUNTIF('Quick Compare'!H560:H567,"Directory")),(COUNTIF('Quick Compare'!D560:D567,"Blog/FAQ")+COUNTIF('Quick Compare'!H560:H567,"Blog/FAQ")),(COUNTIF('Quick Compare'!D560:D567,"Portfolio/Gallery")+COUNTIF('Quick Compare'!H560:H567,"Portfolio/Gallery")),(COUNTIF('Quick Compare'!D560:D567,"About page")+COUNTIF('Quick Compare'!H560:H567,"About page")),(COUNTIF('Quick Compare'!D560:D567,"Other")+COUNTIF('Quick Compare'!H560:H567,"Other"))),"Homepage",IF((COUNTIF('Quick Compare'!D560:D567,"Service page")+COUNTIF('Quick Compare'!H560:H567,"Service page"))=MAX((COUNTIF('Quick Compare'!D560:D567,"Homepage")+COUNTIF('Quick Compare'!H560:H567,"Homepage")),(COUNTIF('Quick Compare'!D560:D567,"Service page")+COUNTIF('Quick Compare'!H560:H567,"Service page")),(COUNTIF('Quick Compare'!D560:D567,"Location page")+COUNTIF('Quick Compare'!H560:H567,"Location page")),(COUNTIF('Quick Compare'!D560:D567,"Directory")+COUNTIF('Quick Compare'!H560:H567,"Directory")),(COUNTIF('Quick Compare'!D560:D567,"Blog/FAQ")+COUNTIF('Quick Compare'!H560:H567,"Blog/FAQ")),(COUNTIF('Quick Compare'!D560:D567,"Portfolio/Gallery")+COUNTIF('Quick Compare'!H560:H567,"Portfolio/Gallery")),(COUNTIF('Quick Compare'!D560:D567,"About page")+COUNTIF('Quick Compare'!H560:H567,"About page")),(COUNTIF('Quick Compare'!D560:D567,"Other")+COUNTIF('Quick Compare'!H560:H567,"Other"))),"Service page",IF((COUNTIF('Quick Compare'!D560:D567,"Location page")+COUNTIF('Quick Compare'!H560:H567,"Location page"))=MAX((COUNTIF('Quick Compare'!D560:D567,"Homepage")+COUNTIF('Quick Compare'!H560:H567,"Homepage")),(COUNTIF('Quick Compare'!D560:D567,"Service page")+COUNTIF('Quick Compare'!H560:H567,"Service page")),(COUNTIF('Quick Compare'!D560:D567,"Location page")+COUNTIF('Quick Compare'!H560:H567,"Location page")),(COUNTIF('Quick Compare'!D560:D567,"Directory")+COUNTIF('Quick Compare'!H560:H567,"Directory")),(COUNTIF('Quick Compare'!D560:D567,"Blog/FAQ")+COUNTIF('Quick Compare'!H560:H567,"Blog/FAQ")),(COUNTIF('Quick Compare'!D560:D567,"Portfolio/Gallery")+COUNTIF('Quick Compare'!H560:H567,"Portfolio/Gallery")),(COUNTIF('Quick Compare'!D560:D567,"About page")+COUNTIF('Quick Compare'!H560:H567,"About page")),(COUNTIF('Quick Compare'!D560:D567,"Other")+COUNTIF('Quick Compare'!H560:H567,"Other"))),"Location page",IF((COUNTIF('Quick Compare'!D560:D567,"Directory")+COUNTIF('Quick Compare'!H560:H567,"Directory"))=MAX((COUNTIF('Quick Compare'!D560:D567,"Homepage")+COUNTIF('Quick Compare'!H560:H567,"Homepage")),(COUNTIF('Quick Compare'!D560:D567,"Service page")+COUNTIF('Quick Compare'!H560:H567,"Service page")),(COUNTIF('Quick Compare'!D560:D567,"Location page")+COUNTIF('Quick Compare'!H560:H567,"Location page")),(COUNTIF('Quick Compare'!D560:D567,"Directory")+COUNTIF('Quick Compare'!H560:H567,"Directory")),(COUNTIF('Quick Compare'!D560:D567,"Blog/FAQ")+COUNTIF('Quick Compare'!H560:H567,"Blog/FAQ")),(COUNTIF('Quick Compare'!D560:D567,"Portfolio/Gallery")+COUNTIF('Quick Compare'!H560:H567,"Portfolio/Gallery")),(COUNTIF('Quick Compare'!D560:D567,"About page")+COUNTIF('Quick Compare'!H560:H567,"About page")),(COUNTIF('Quick Compare'!D560:D567,"Other")+COUNTIF('Quick Compare'!H560:H567,"Other"))),"Directory",IF((COUNTIF('Quick Compare'!D560:D567,"Blog/FAQ")+COUNTIF('Quick Compare'!H560:H567,"Blog/FAQ"))=MAX((COUNTIF('Quick Compare'!D560:D567,"Homepage")+COUNTIF('Quick Compare'!H560:H567,"Homepage")),(COUNTIF('Quick Compare'!D560:D567,"Service page")+COUNTIF('Quick Compare'!H560:H567,"Service page")),(COUNTIF('Quick Compare'!D560:D567,"Location page")+COUNTIF('Quick Compare'!H560:H567,"Location page")),(COUNTIF('Quick Compare'!D560:D567,"Directory")+COUNTIF('Quick Compare'!H560:H567,"Directory")),(COUNTIF('Quick Compare'!D560:D567,"Blog/FAQ")+COUNTIF('Quick Compare'!H560:H567,"Blog/FAQ")),(COUNTIF('Quick Compare'!D560:D567,"Portfolio/Gallery")+COUNTIF('Quick Compare'!H560:H567,"Portfolio/Gallery")),(COUNTIF('Quick Compare'!D560:D567,"About page")+COUNTIF('Quick Compare'!H560:H567,"About page")),(COUNTIF('Quick Compare'!D560:D567,"Other")+COUNTIF('Quick Compare'!H560:H567,"Other"))),"Blog/FAQ",IF((COUNTIF('Quick Compare'!D560:D567,"Portfolio/Gallery")+COUNTIF('Quick Compare'!H560:H567,"Portfolio/Gallery"))=MAX((COUNTIF('Quick Compare'!D560:D567,"Homepage")+COUNTIF('Quick Compare'!H560:H567,"Homepage")),(COUNTIF('Quick Compare'!D560:D567,"Service page")+COUNTIF('Quick Compare'!H560:H567,"Service page")),(COUNTIF('Quick Compare'!D560:D567,"Location page")+COUNTIF('Quick Compare'!H560:H567,"Location page")),(COUNTIF('Quick Compare'!D560:D567,"Directory")+COUNTIF('Quick Compare'!H560:H567,"Directory")),(COUNTIF('Quick Compare'!D560:D567,"Blog/FAQ")+COUNTIF('Quick Compare'!H560:H567,"Blog/FAQ")),(COUNTIF('Quick Compare'!D560:D567,"Portfolio/Gallery")+COUNTIF('Quick Compare'!H560:H567,"Portfolio/Gallery")),(COUNTIF('Quick Compare'!D560:D567,"About page")+COUNTIF('Quick Compare'!H560:H567,"About page")),(COUNTIF('Quick Compare'!D560:D567,"Other")+COUNTIF('Quick Compare'!H560:H567,"Other"))),"Portfolio/Gallery",IF((COUNTIF('Quick Compare'!D560:D567,"About page")+COUNTIF('Quick Compare'!H560:H567,"About page"))=MAX((COUNTIF('Quick Compare'!D560:D567,"Homepage")+COUNTIF('Quick Compare'!H560:H567,"Homepage")),(COUNTIF('Quick Compare'!D560:D567,"Service page")+COUNTIF('Quick Compare'!H560:H567,"Service page")),(COUNTIF('Quick Compare'!D560:D567,"Location page")+COUNTIF('Quick Compare'!H560:H567,"Location page")),(COUNTIF('Quick Compare'!D560:D567,"Directory")+COUNTIF('Quick Compare'!H560:H567,"Directory")),(COUNTIF('Quick Compare'!D560:D567,"Blog/FAQ")+COUNTIF('Quick Compare'!H560:H567,"Blog/FAQ")),(COUNTIF('Quick Compare'!D560:D567,"Portfolio/Gallery")+COUNTIF('Quick Compare'!H560:H567,"Portfolio/Gallery")),(COUNTIF('Quick Compare'!D560:D567,"About page")+COUNTIF('Quick Compare'!H560:H567,"About page")),(COUNTIF('Quick Compare'!D560:D567,"Other")+COUNTIF('Quick Compare'!H560:H567,"Other"))),"About page","Other"))))))))))</x:f>
      </x:c>
      <x:c r="K27" s="67"/>
      <x:c r="L27" s="67"/>
    </x:row>
    <x:row r="28">
      <x:c r="A28" s="67" t="str">
        <x:f>IF('Quick Compare'!B578="","",'Quick Compare'!B578)</x:f>
      </x:c>
      <x:c r="B28" s="67" t="str">
        <x:f>IF('Quick Compare'!B579="","",'Quick Compare'!B579)</x:f>
      </x:c>
      <x:c r="C28" s="67" t="str">
        <x:f>IF('Quick Compare'!B580="","",'Quick Compare'!B580)</x:f>
      </x:c>
      <x:c r="D28" s="67" t="str">
        <x:f>IF(B28="","",'Quick Compare'!B595)</x:f>
      </x:c>
      <x:c r="E28" s="67" t="str">
        <x:f>IF(B28="","",MAX(0,'Quick Compare'!B596-'Quick Compare'!B595))</x:f>
      </x:c>
      <x:c r="F28" s="67" t="str">
        <x:f>IF(B28="","",'Quick Compare'!B597)</x:f>
      </x:c>
      <x:c r="G28" s="67" t="str">
        <x:f>IF(B28="","",'Quick Compare'!B598)</x:f>
      </x:c>
      <x:c r="H28" s="67"/>
      <x:c r="I28" s="67"/>
      <x:c r="J28" s="67" t="str">
        <x:f>IF(B28="","",IF(MAX((COUNTIF('Quick Compare'!D584:D591,"Homepage")+COUNTIF('Quick Compare'!H584:H591,"Homepage")),(COUNTIF('Quick Compare'!D584:D591,"Service page")+COUNTIF('Quick Compare'!H584:H591,"Service page")),(COUNTIF('Quick Compare'!D584:D591,"Location page")+COUNTIF('Quick Compare'!H584:H591,"Location page")),(COUNTIF('Quick Compare'!D584:D591,"Directory")+COUNTIF('Quick Compare'!H584:H591,"Directory")),(COUNTIF('Quick Compare'!D584:D591,"Blog/FAQ")+COUNTIF('Quick Compare'!H584:H591,"Blog/FAQ")),(COUNTIF('Quick Compare'!D584:D591,"Portfolio/Gallery")+COUNTIF('Quick Compare'!H584:H591,"Portfolio/Gallery")),(COUNTIF('Quick Compare'!D584:D591,"About page")+COUNTIF('Quick Compare'!H584:H591,"About page")),(COUNTIF('Quick Compare'!D584:D591,"Other")+COUNTIF('Quick Compare'!H584:H591,"Other")))=0,"",IF((--((COUNTIF('Quick Compare'!D584:D591,"Homepage")+COUNTIF('Quick Compare'!H584:H591,"Homepage"))=MAX((COUNTIF('Quick Compare'!D584:D591,"Homepage")+COUNTIF('Quick Compare'!H584:H591,"Homepage")),(COUNTIF('Quick Compare'!D584:D591,"Service page")+COUNTIF('Quick Compare'!H584:H591,"Service page")),(COUNTIF('Quick Compare'!D584:D591,"Location page")+COUNTIF('Quick Compare'!H584:H591,"Location page")),(COUNTIF('Quick Compare'!D584:D591,"Directory")+COUNTIF('Quick Compare'!H584:H591,"Directory")),(COUNTIF('Quick Compare'!D584:D591,"Blog/FAQ")+COUNTIF('Quick Compare'!H584:H591,"Blog/FAQ")),(COUNTIF('Quick Compare'!D584:D591,"Portfolio/Gallery")+COUNTIF('Quick Compare'!H584:H591,"Portfolio/Gallery")),(COUNTIF('Quick Compare'!D584:D591,"About page")+COUNTIF('Quick Compare'!H584:H591,"About page")),(COUNTIF('Quick Compare'!D584:D591,"Other")+COUNTIF('Quick Compare'!H584:H591,"Other"))))+--((COUNTIF('Quick Compare'!D584:D591,"Service page")+COUNTIF('Quick Compare'!H584:H591,"Service page"))=MAX((COUNTIF('Quick Compare'!D584:D591,"Homepage")+COUNTIF('Quick Compare'!H584:H591,"Homepage")),(COUNTIF('Quick Compare'!D584:D591,"Service page")+COUNTIF('Quick Compare'!H584:H591,"Service page")),(COUNTIF('Quick Compare'!D584:D591,"Location page")+COUNTIF('Quick Compare'!H584:H591,"Location page")),(COUNTIF('Quick Compare'!D584:D591,"Directory")+COUNTIF('Quick Compare'!H584:H591,"Directory")),(COUNTIF('Quick Compare'!D584:D591,"Blog/FAQ")+COUNTIF('Quick Compare'!H584:H591,"Blog/FAQ")),(COUNTIF('Quick Compare'!D584:D591,"Portfolio/Gallery")+COUNTIF('Quick Compare'!H584:H591,"Portfolio/Gallery")),(COUNTIF('Quick Compare'!D584:D591,"About page")+COUNTIF('Quick Compare'!H584:H591,"About page")),(COUNTIF('Quick Compare'!D584:D591,"Other")+COUNTIF('Quick Compare'!H584:H591,"Other"))))+--((COUNTIF('Quick Compare'!D584:D591,"Location page")+COUNTIF('Quick Compare'!H584:H591,"Location page"))=MAX((COUNTIF('Quick Compare'!D584:D591,"Homepage")+COUNTIF('Quick Compare'!H584:H591,"Homepage")),(COUNTIF('Quick Compare'!D584:D591,"Service page")+COUNTIF('Quick Compare'!H584:H591,"Service page")),(COUNTIF('Quick Compare'!D584:D591,"Location page")+COUNTIF('Quick Compare'!H584:H591,"Location page")),(COUNTIF('Quick Compare'!D584:D591,"Directory")+COUNTIF('Quick Compare'!H584:H591,"Directory")),(COUNTIF('Quick Compare'!D584:D591,"Blog/FAQ")+COUNTIF('Quick Compare'!H584:H591,"Blog/FAQ")),(COUNTIF('Quick Compare'!D584:D591,"Portfolio/Gallery")+COUNTIF('Quick Compare'!H584:H591,"Portfolio/Gallery")),(COUNTIF('Quick Compare'!D584:D591,"About page")+COUNTIF('Quick Compare'!H584:H591,"About page")),(COUNTIF('Quick Compare'!D584:D591,"Other")+COUNTIF('Quick Compare'!H584:H591,"Other"))))+--((COUNTIF('Quick Compare'!D584:D591,"Directory")+COUNTIF('Quick Compare'!H584:H591,"Directory"))=MAX((COUNTIF('Quick Compare'!D584:D591,"Homepage")+COUNTIF('Quick Compare'!H584:H591,"Homepage")),(COUNTIF('Quick Compare'!D584:D591,"Service page")+COUNTIF('Quick Compare'!H584:H591,"Service page")),(COUNTIF('Quick Compare'!D584:D591,"Location page")+COUNTIF('Quick Compare'!H584:H591,"Location page")),(COUNTIF('Quick Compare'!D584:D591,"Directory")+COUNTIF('Quick Compare'!H584:H591,"Directory")),(COUNTIF('Quick Compare'!D584:D591,"Blog/FAQ")+COUNTIF('Quick Compare'!H584:H591,"Blog/FAQ")),(COUNTIF('Quick Compare'!D584:D591,"Portfolio/Gallery")+COUNTIF('Quick Compare'!H584:H591,"Portfolio/Gallery")),(COUNTIF('Quick Compare'!D584:D591,"About page")+COUNTIF('Quick Compare'!H584:H591,"About page")),(COUNTIF('Quick Compare'!D584:D591,"Other")+COUNTIF('Quick Compare'!H584:H591,"Other"))))+--((COUNTIF('Quick Compare'!D584:D591,"Blog/FAQ")+COUNTIF('Quick Compare'!H584:H591,"Blog/FAQ"))=MAX((COUNTIF('Quick Compare'!D584:D591,"Homepage")+COUNTIF('Quick Compare'!H584:H591,"Homepage")),(COUNTIF('Quick Compare'!D584:D591,"Service page")+COUNTIF('Quick Compare'!H584:H591,"Service page")),(COUNTIF('Quick Compare'!D584:D591,"Location page")+COUNTIF('Quick Compare'!H584:H591,"Location page")),(COUNTIF('Quick Compare'!D584:D591,"Directory")+COUNTIF('Quick Compare'!H584:H591,"Directory")),(COUNTIF('Quick Compare'!D584:D591,"Blog/FAQ")+COUNTIF('Quick Compare'!H584:H591,"Blog/FAQ")),(COUNTIF('Quick Compare'!D584:D591,"Portfolio/Gallery")+COUNTIF('Quick Compare'!H584:H591,"Portfolio/Gallery")),(COUNTIF('Quick Compare'!D584:D591,"About page")+COUNTIF('Quick Compare'!H584:H591,"About page")),(COUNTIF('Quick Compare'!D584:D591,"Other")+COUNTIF('Quick Compare'!H584:H591,"Other"))))+--((COUNTIF('Quick Compare'!D584:D591,"Portfolio/Gallery")+COUNTIF('Quick Compare'!H584:H591,"Portfolio/Gallery"))=MAX((COUNTIF('Quick Compare'!D584:D591,"Homepage")+COUNTIF('Quick Compare'!H584:H591,"Homepage")),(COUNTIF('Quick Compare'!D584:D591,"Service page")+COUNTIF('Quick Compare'!H584:H591,"Service page")),(COUNTIF('Quick Compare'!D584:D591,"Location page")+COUNTIF('Quick Compare'!H584:H591,"Location page")),(COUNTIF('Quick Compare'!D584:D591,"Directory")+COUNTIF('Quick Compare'!H584:H591,"Directory")),(COUNTIF('Quick Compare'!D584:D591,"Blog/FAQ")+COUNTIF('Quick Compare'!H584:H591,"Blog/FAQ")),(COUNTIF('Quick Compare'!D584:D591,"Portfolio/Gallery")+COUNTIF('Quick Compare'!H584:H591,"Portfolio/Gallery")),(COUNTIF('Quick Compare'!D584:D591,"About page")+COUNTIF('Quick Compare'!H584:H591,"About page")),(COUNTIF('Quick Compare'!D584:D591,"Other")+COUNTIF('Quick Compare'!H584:H591,"Other"))))+--((COUNTIF('Quick Compare'!D584:D591,"About page")+COUNTIF('Quick Compare'!H584:H591,"About page"))=MAX((COUNTIF('Quick Compare'!D584:D591,"Homepage")+COUNTIF('Quick Compare'!H584:H591,"Homepage")),(COUNTIF('Quick Compare'!D584:D591,"Service page")+COUNTIF('Quick Compare'!H584:H591,"Service page")),(COUNTIF('Quick Compare'!D584:D591,"Location page")+COUNTIF('Quick Compare'!H584:H591,"Location page")),(COUNTIF('Quick Compare'!D584:D591,"Directory")+COUNTIF('Quick Compare'!H584:H591,"Directory")),(COUNTIF('Quick Compare'!D584:D591,"Blog/FAQ")+COUNTIF('Quick Compare'!H584:H591,"Blog/FAQ")),(COUNTIF('Quick Compare'!D584:D591,"Portfolio/Gallery")+COUNTIF('Quick Compare'!H584:H591,"Portfolio/Gallery")),(COUNTIF('Quick Compare'!D584:D591,"About page")+COUNTIF('Quick Compare'!H584:H591,"About page")),(COUNTIF('Quick Compare'!D584:D591,"Other")+COUNTIF('Quick Compare'!H584:H591,"Other"))))+--((COUNTIF('Quick Compare'!D584:D591,"Other")+COUNTIF('Quick Compare'!H584:H591,"Other"))=MAX((COUNTIF('Quick Compare'!D584:D591,"Homepage")+COUNTIF('Quick Compare'!H584:H591,"Homepage")),(COUNTIF('Quick Compare'!D584:D591,"Service page")+COUNTIF('Quick Compare'!H584:H591,"Service page")),(COUNTIF('Quick Compare'!D584:D591,"Location page")+COUNTIF('Quick Compare'!H584:H591,"Location page")),(COUNTIF('Quick Compare'!D584:D591,"Directory")+COUNTIF('Quick Compare'!H584:H591,"Directory")),(COUNTIF('Quick Compare'!D584:D591,"Blog/FAQ")+COUNTIF('Quick Compare'!H584:H591,"Blog/FAQ")),(COUNTIF('Quick Compare'!D584:D591,"Portfolio/Gallery")+COUNTIF('Quick Compare'!H584:H591,"Portfolio/Gallery")),(COUNTIF('Quick Compare'!D584:D591,"About page")+COUNTIF('Quick Compare'!H584:H591,"About page")),(COUNTIF('Quick Compare'!D584:D591,"Other")+COUNTIF('Quick Compare'!H584:H591,"Other")))))&gt;1,"Tie / review",IF((COUNTIF('Quick Compare'!D584:D591,"Homepage")+COUNTIF('Quick Compare'!H584:H591,"Homepage"))=MAX((COUNTIF('Quick Compare'!D584:D591,"Homepage")+COUNTIF('Quick Compare'!H584:H591,"Homepage")),(COUNTIF('Quick Compare'!D584:D591,"Service page")+COUNTIF('Quick Compare'!H584:H591,"Service page")),(COUNTIF('Quick Compare'!D584:D591,"Location page")+COUNTIF('Quick Compare'!H584:H591,"Location page")),(COUNTIF('Quick Compare'!D584:D591,"Directory")+COUNTIF('Quick Compare'!H584:H591,"Directory")),(COUNTIF('Quick Compare'!D584:D591,"Blog/FAQ")+COUNTIF('Quick Compare'!H584:H591,"Blog/FAQ")),(COUNTIF('Quick Compare'!D584:D591,"Portfolio/Gallery")+COUNTIF('Quick Compare'!H584:H591,"Portfolio/Gallery")),(COUNTIF('Quick Compare'!D584:D591,"About page")+COUNTIF('Quick Compare'!H584:H591,"About page")),(COUNTIF('Quick Compare'!D584:D591,"Other")+COUNTIF('Quick Compare'!H584:H591,"Other"))),"Homepage",IF((COUNTIF('Quick Compare'!D584:D591,"Service page")+COUNTIF('Quick Compare'!H584:H591,"Service page"))=MAX((COUNTIF('Quick Compare'!D584:D591,"Homepage")+COUNTIF('Quick Compare'!H584:H591,"Homepage")),(COUNTIF('Quick Compare'!D584:D591,"Service page")+COUNTIF('Quick Compare'!H584:H591,"Service page")),(COUNTIF('Quick Compare'!D584:D591,"Location page")+COUNTIF('Quick Compare'!H584:H591,"Location page")),(COUNTIF('Quick Compare'!D584:D591,"Directory")+COUNTIF('Quick Compare'!H584:H591,"Directory")),(COUNTIF('Quick Compare'!D584:D591,"Blog/FAQ")+COUNTIF('Quick Compare'!H584:H591,"Blog/FAQ")),(COUNTIF('Quick Compare'!D584:D591,"Portfolio/Gallery")+COUNTIF('Quick Compare'!H584:H591,"Portfolio/Gallery")),(COUNTIF('Quick Compare'!D584:D591,"About page")+COUNTIF('Quick Compare'!H584:H591,"About page")),(COUNTIF('Quick Compare'!D584:D591,"Other")+COUNTIF('Quick Compare'!H584:H591,"Other"))),"Service page",IF((COUNTIF('Quick Compare'!D584:D591,"Location page")+COUNTIF('Quick Compare'!H584:H591,"Location page"))=MAX((COUNTIF('Quick Compare'!D584:D591,"Homepage")+COUNTIF('Quick Compare'!H584:H591,"Homepage")),(COUNTIF('Quick Compare'!D584:D591,"Service page")+COUNTIF('Quick Compare'!H584:H591,"Service page")),(COUNTIF('Quick Compare'!D584:D591,"Location page")+COUNTIF('Quick Compare'!H584:H591,"Location page")),(COUNTIF('Quick Compare'!D584:D591,"Directory")+COUNTIF('Quick Compare'!H584:H591,"Directory")),(COUNTIF('Quick Compare'!D584:D591,"Blog/FAQ")+COUNTIF('Quick Compare'!H584:H591,"Blog/FAQ")),(COUNTIF('Quick Compare'!D584:D591,"Portfolio/Gallery")+COUNTIF('Quick Compare'!H584:H591,"Portfolio/Gallery")),(COUNTIF('Quick Compare'!D584:D591,"About page")+COUNTIF('Quick Compare'!H584:H591,"About page")),(COUNTIF('Quick Compare'!D584:D591,"Other")+COUNTIF('Quick Compare'!H584:H591,"Other"))),"Location page",IF((COUNTIF('Quick Compare'!D584:D591,"Directory")+COUNTIF('Quick Compare'!H584:H591,"Directory"))=MAX((COUNTIF('Quick Compare'!D584:D591,"Homepage")+COUNTIF('Quick Compare'!H584:H591,"Homepage")),(COUNTIF('Quick Compare'!D584:D591,"Service page")+COUNTIF('Quick Compare'!H584:H591,"Service page")),(COUNTIF('Quick Compare'!D584:D591,"Location page")+COUNTIF('Quick Compare'!H584:H591,"Location page")),(COUNTIF('Quick Compare'!D584:D591,"Directory")+COUNTIF('Quick Compare'!H584:H591,"Directory")),(COUNTIF('Quick Compare'!D584:D591,"Blog/FAQ")+COUNTIF('Quick Compare'!H584:H591,"Blog/FAQ")),(COUNTIF('Quick Compare'!D584:D591,"Portfolio/Gallery")+COUNTIF('Quick Compare'!H584:H591,"Portfolio/Gallery")),(COUNTIF('Quick Compare'!D584:D591,"About page")+COUNTIF('Quick Compare'!H584:H591,"About page")),(COUNTIF('Quick Compare'!D584:D591,"Other")+COUNTIF('Quick Compare'!H584:H591,"Other"))),"Directory",IF((COUNTIF('Quick Compare'!D584:D591,"Blog/FAQ")+COUNTIF('Quick Compare'!H584:H591,"Blog/FAQ"))=MAX((COUNTIF('Quick Compare'!D584:D591,"Homepage")+COUNTIF('Quick Compare'!H584:H591,"Homepage")),(COUNTIF('Quick Compare'!D584:D591,"Service page")+COUNTIF('Quick Compare'!H584:H591,"Service page")),(COUNTIF('Quick Compare'!D584:D591,"Location page")+COUNTIF('Quick Compare'!H584:H591,"Location page")),(COUNTIF('Quick Compare'!D584:D591,"Directory")+COUNTIF('Quick Compare'!H584:H591,"Directory")),(COUNTIF('Quick Compare'!D584:D591,"Blog/FAQ")+COUNTIF('Quick Compare'!H584:H591,"Blog/FAQ")),(COUNTIF('Quick Compare'!D584:D591,"Portfolio/Gallery")+COUNTIF('Quick Compare'!H584:H591,"Portfolio/Gallery")),(COUNTIF('Quick Compare'!D584:D591,"About page")+COUNTIF('Quick Compare'!H584:H591,"About page")),(COUNTIF('Quick Compare'!D584:D591,"Other")+COUNTIF('Quick Compare'!H584:H591,"Other"))),"Blog/FAQ",IF((COUNTIF('Quick Compare'!D584:D591,"Portfolio/Gallery")+COUNTIF('Quick Compare'!H584:H591,"Portfolio/Gallery"))=MAX((COUNTIF('Quick Compare'!D584:D591,"Homepage")+COUNTIF('Quick Compare'!H584:H591,"Homepage")),(COUNTIF('Quick Compare'!D584:D591,"Service page")+COUNTIF('Quick Compare'!H584:H591,"Service page")),(COUNTIF('Quick Compare'!D584:D591,"Location page")+COUNTIF('Quick Compare'!H584:H591,"Location page")),(COUNTIF('Quick Compare'!D584:D591,"Directory")+COUNTIF('Quick Compare'!H584:H591,"Directory")),(COUNTIF('Quick Compare'!D584:D591,"Blog/FAQ")+COUNTIF('Quick Compare'!H584:H591,"Blog/FAQ")),(COUNTIF('Quick Compare'!D584:D591,"Portfolio/Gallery")+COUNTIF('Quick Compare'!H584:H591,"Portfolio/Gallery")),(COUNTIF('Quick Compare'!D584:D591,"About page")+COUNTIF('Quick Compare'!H584:H591,"About page")),(COUNTIF('Quick Compare'!D584:D591,"Other")+COUNTIF('Quick Compare'!H584:H591,"Other"))),"Portfolio/Gallery",IF((COUNTIF('Quick Compare'!D584:D591,"About page")+COUNTIF('Quick Compare'!H584:H591,"About page"))=MAX((COUNTIF('Quick Compare'!D584:D591,"Homepage")+COUNTIF('Quick Compare'!H584:H591,"Homepage")),(COUNTIF('Quick Compare'!D584:D591,"Service page")+COUNTIF('Quick Compare'!H584:H591,"Service page")),(COUNTIF('Quick Compare'!D584:D591,"Location page")+COUNTIF('Quick Compare'!H584:H591,"Location page")),(COUNTIF('Quick Compare'!D584:D591,"Directory")+COUNTIF('Quick Compare'!H584:H591,"Directory")),(COUNTIF('Quick Compare'!D584:D591,"Blog/FAQ")+COUNTIF('Quick Compare'!H584:H591,"Blog/FAQ")),(COUNTIF('Quick Compare'!D584:D591,"Portfolio/Gallery")+COUNTIF('Quick Compare'!H584:H591,"Portfolio/Gallery")),(COUNTIF('Quick Compare'!D584:D591,"About page")+COUNTIF('Quick Compare'!H584:H591,"About page")),(COUNTIF('Quick Compare'!D584:D591,"Other")+COUNTIF('Quick Compare'!H584:H591,"Other"))),"About page","Other"))))))))))</x:f>
      </x:c>
      <x:c r="K28" s="67"/>
      <x:c r="L28" s="67"/>
    </x:row>
  </x:sheetData>
  <x:mergeCells>
    <x:mergeCell ref="A1:L1"/>
  </x:mergeCells>
  <x:conditionalFormatting sqref="D4:D28">
    <x:cfRule type="expression" dxfId="125" priority="1">
      <x:formula>AND(D4&lt;&gt;"",D4&gt;=7)</x:formula>
    </x:cfRule>
    <x:cfRule type="expression" dxfId="126" priority="2">
      <x:formula>AND(D4&lt;&gt;"",D4&gt;=3,D4&lt;=6)</x:formula>
    </x:cfRule>
    <x:cfRule type="expression" dxfId="127" priority="3">
      <x:formula>AND(D4&lt;&gt;"",D4&lt;=2)</x:formula>
    </x:cfRule>
  </x:conditionalFormatting>
  <x:conditionalFormatting sqref="A4:L28">
    <x:cfRule type="expression" dxfId="128" priority="4">
      <x:formula>AND($D4&lt;&gt;"",$D4&gt;=3,$D4&lt;=6)</x:formula>
    </x:cfRule>
  </x:conditionalFormatting>
  <x:dataValidations count="2">
    <x:dataValidation type="list" sqref="H4:H28">
      <x:formula1>"Same intent,Probably same,Gray zone / discuss,Probably different,Different intent"</x:formula1>
    </x:dataValidation>
    <x:dataValidation type="list" sqref="I4:I28">
      <x:formula1>"Yes,No,Undecided"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2" hidden="0" customWidth="1"/>
  </x:cols>
  <x:sheetData>
    <x:row r="1">
      <x:c r="A1" s="79" t="str">
        <x:v>Keepsite SERP Overlap Tracker — Fast Workflow</x:v>
      </x:c>
      <x:c r="B1" s="79"/>
    </x:row>
    <x:row r="3">
      <x:c r="A3" s="19" t="str">
        <x:v>Step</x:v>
      </x:c>
      <x:c r="B3" s="19" t="str">
        <x:v>What to do</x:v>
      </x:c>
    </x:row>
    <x:row r="4">
      <x:c r="A4" t="str">
        <x:v>1</x:v>
      </x:c>
      <x:c r="B4" t="str">
        <x:v>In Quick Compare, type the Cluster / Topic and the two keywords for Comparison 01.</x:v>
      </x:c>
    </x:row>
    <x:row r="5">
      <x:c r="A5" t="str">
        <x:v>2</x:v>
      </x:c>
      <x:c r="B5" t="str">
        <x:v>Search each keyword under the same conditions and enter the top 5–8 organic results. Ignore ads, map packs, and duplicate sitelinks.</x:v>
      </x:c>
    </x:row>
    <x:row r="6">
      <x:c r="A6" t="str">
        <x:v>3</x:v>
      </x:c>
      <x:c r="B6" t="str">
        <x:v>Paste the URL, business/domain name, and page type for each result.</x:v>
      </x:c>
    </x:row>
    <x:row r="7">
      <x:c r="A7" t="str">
        <x:v>4</x:v>
      </x:c>
      <x:c r="B7" t="str">
        <x:v>Green URL cells are exact URL matches. Blue business/domain cells are the same business appearing in both searches.</x:v>
      </x:c>
    </x:row>
    <x:row r="8">
      <x:c r="A8" t="str">
        <x:v>5</x:v>
      </x:c>
      <x:c r="B8" t="str">
        <x:v>The overlap counts and interpretation calculate automatically.</x:v>
      </x:c>
    </x:row>
    <x:row r="9">
      <x:c r="A9" t="str">
        <x:v>6</x:v>
      </x:c>
      <x:c r="B9" t="str">
        <x:v>Scroll down to Comparison 02, 03, etc. There are 25 blocks.</x:v>
      </x:c>
    </x:row>
    <x:row r="10">
      <x:c r="A10" t="str">
        <x:v>7</x:v>
      </x:c>
      <x:c r="B10" t="str">
        <x:v>Pair Tracker fills automatically from Quick Compare. No copying is required.</x:v>
      </x:c>
    </x:row>
    <x:row r="11">
      <x:c r="A11" t="str">
        <x:v>8</x:v>
      </x:c>
      <x:c r="B11" t="str">
        <x:v>Rows with 3–6 exact URL matches are the gray zone and are highlighted for client discussion.</x:v>
      </x:c>
    </x:row>
    <x:row r="12">
      <x:c r="A12" t="str">
        <x:v>9</x:v>
      </x:c>
      <x:c r="B12" t="str">
        <x:v>Use Human / Client Read and Same Cluster? during the Zoom call to record the final judgment.</x:v>
      </x:c>
    </x:row>
    <x:row r="13">
      <x:c r="A13" t="str">
        <x:v>10</x:v>
      </x:c>
      <x:c r="B13" t="str">
        <x:v>Primary Page and Notes remain intentionally manual because those are strategic decisions, not formula decisions.</x:v>
      </x:c>
    </x:row>
    <x:row r="14">
      <x:c r="A14" s="67" t="str">
        <x:v>11</x:v>
      </x:c>
      <x:c r="B14" s="67" t="str">
        <x:v>Use the Page Type dropdowns in every Quick Compare result row so page-type reporting stays consistent.</x:v>
      </x:c>
    </x:row>
    <x:row r="15">
      <x:c r="A15" s="67" t="str">
        <x:v>12</x:v>
      </x:c>
      <x:c r="B15" s="67" t="str">
        <x:v>Primary Page on Pair Tracker now reports the most common page type across both SERPs. If the top count is tied, it shows Tie / review.</x:v>
      </x:c>
    </x:row>
  </x:sheetData>
  <x:mergeCells>
    <x:mergeCell ref="A1:B1"/>
  </x:mergeCells>
  <x:pageMargins left="0.7" right="0.7" top="0.75" bottom="0.75" header="0.3" footer="0.3"/>
</x:worksheet>
</file>